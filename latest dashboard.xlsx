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82e77551179c3ea4/Documents/"/>
    </mc:Choice>
  </mc:AlternateContent>
  <xr:revisionPtr revIDLastSave="16" documentId="8_{9B39F674-EA7E-4B42-AB69-D926AF93E682}" xr6:coauthVersionLast="47" xr6:coauthVersionMax="47" xr10:uidLastSave="{97F1475A-D8BC-4E32-84DA-9FBAD4BB4DAA}"/>
  <bookViews>
    <workbookView xWindow="-120" yWindow="-120" windowWidth="20730" windowHeight="11040" activeTab="4" xr2:uid="{A9ACEF60-E004-4335-A923-94376A23F990}"/>
  </bookViews>
  <sheets>
    <sheet name="welcome" sheetId="2" r:id="rId1"/>
    <sheet name="Rawdata" sheetId="1" r:id="rId2"/>
    <sheet name="Kpi" sheetId="4" r:id="rId3"/>
    <sheet name="Dashboard" sheetId="5" r:id="rId4"/>
    <sheet name="Insight" sheetId="6" r:id="rId5"/>
    <sheet name="suggestion" sheetId="7" r:id="rId6"/>
  </sheets>
  <definedNames>
    <definedName name="_xlcn.WorksheetConnection_latestdashboard.xlsxTable11" hidden="1">Table1[]</definedName>
    <definedName name="Slicer_Month">#N/A</definedName>
    <definedName name="Slicer_Product">#N/A</definedName>
    <definedName name="Slicer_Region">#N/A</definedName>
    <definedName name="Slicer_Sales_person">#N/A</definedName>
  </definedNames>
  <calcPr calcId="191029"/>
  <pivotCaches>
    <pivotCache cacheId="341" r:id="rId7"/>
    <pivotCache cacheId="344" r:id="rId8"/>
    <pivotCache cacheId="347" r:id="rId9"/>
    <pivotCache cacheId="350" r:id="rId10"/>
    <pivotCache cacheId="353" r:id="rId11"/>
    <pivotCache cacheId="356" r:id="rId12"/>
    <pivotCache cacheId="359" r:id="rId13"/>
    <pivotCache cacheId="362" r:id="rId14"/>
    <pivotCache cacheId="365" r:id="rId15"/>
    <pivotCache cacheId="368" r:id="rId16"/>
    <pivotCache cacheId="371" r:id="rId17"/>
  </pivotCaches>
  <extLst>
    <ext xmlns:x14="http://schemas.microsoft.com/office/spreadsheetml/2009/9/main" uri="{876F7934-8845-4945-9796-88D515C7AA90}">
      <x14:pivotCaches>
        <pivotCache cacheId="284"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latest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6" i="4" l="1" a="1"/>
  <c r="Z26" i="4" s="1"/>
  <c r="W26" i="4" a="1"/>
  <c r="W26" i="4" s="1"/>
  <c r="T26" i="4" a="1"/>
  <c r="T26" i="4" s="1"/>
  <c r="Q26" i="4" a="1"/>
  <c r="Q26" i="4" s="1"/>
  <c r="M23" i="4" a="1"/>
  <c r="M23" i="4" s="1"/>
  <c r="D33" i="4"/>
  <c r="D38" i="4"/>
  <c r="D28" i="4"/>
  <c r="D12" i="4"/>
  <c r="D23" i="4"/>
  <c r="D17" i="4"/>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482FCF-FABD-45D4-9F79-5E2165755A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CDB77D-AA99-4349-B3C9-6E8202FF602C}" name="WorksheetConnection_latest dashboard.xlsx!Table1" type="102" refreshedVersion="8" minRefreshableVersion="5">
    <extLst>
      <ext xmlns:x15="http://schemas.microsoft.com/office/spreadsheetml/2010/11/main" uri="{DE250136-89BD-433C-8126-D09CA5730AF9}">
        <x15:connection id="Table1" autoDelete="1">
          <x15:rangePr sourceName="_xlcn.WorksheetConnection_latestdashboard.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<sst xmlns="http://schemas.openxmlformats.org/spreadsheetml/2006/main" count="5094" uniqueCount="48">
  <si>
    <t>Order ID</t>
  </si>
  <si>
    <t>Date</t>
  </si>
  <si>
    <t>Month</t>
  </si>
  <si>
    <t>Region</t>
  </si>
  <si>
    <t>Product</t>
  </si>
  <si>
    <t>Units</t>
  </si>
  <si>
    <t>Unit Price</t>
  </si>
  <si>
    <t>Revenue</t>
  </si>
  <si>
    <t>Profit</t>
  </si>
  <si>
    <t>Category</t>
  </si>
  <si>
    <t>Jan</t>
  </si>
  <si>
    <t>East</t>
  </si>
  <si>
    <t>Amit</t>
  </si>
  <si>
    <t>Mouse</t>
  </si>
  <si>
    <t>Low</t>
  </si>
  <si>
    <t>May</t>
  </si>
  <si>
    <t>South</t>
  </si>
  <si>
    <t>Priya</t>
  </si>
  <si>
    <t>Laptop</t>
  </si>
  <si>
    <t>High</t>
  </si>
  <si>
    <t>Apr</t>
  </si>
  <si>
    <t>Rahul</t>
  </si>
  <si>
    <t>Monitor</t>
  </si>
  <si>
    <t>Mar</t>
  </si>
  <si>
    <t>North</t>
  </si>
  <si>
    <t>Neha</t>
  </si>
  <si>
    <t>Medium</t>
  </si>
  <si>
    <t>Jun</t>
  </si>
  <si>
    <t>Keyboard</t>
  </si>
  <si>
    <t>West</t>
  </si>
  <si>
    <t>Sneha</t>
  </si>
  <si>
    <t>Rohit</t>
  </si>
  <si>
    <t>Feb</t>
  </si>
  <si>
    <t>Arjun</t>
  </si>
  <si>
    <t>Tablet</t>
  </si>
  <si>
    <t>Karan</t>
  </si>
  <si>
    <t>Sales person</t>
  </si>
  <si>
    <t>Total Sale</t>
  </si>
  <si>
    <t>Total Profit</t>
  </si>
  <si>
    <t>Units Solds</t>
  </si>
  <si>
    <t xml:space="preserve">Average </t>
  </si>
  <si>
    <t>Max. Revenue</t>
  </si>
  <si>
    <t>Min. Revenue</t>
  </si>
  <si>
    <t>Grand Total</t>
  </si>
  <si>
    <t>Sales Person</t>
  </si>
  <si>
    <t>PRODUCT</t>
  </si>
  <si>
    <t>Months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</si>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</sst>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4" x14ac:knownFonts="1">
    <font>
      <sz val="11"/>
      <color theme="1"/>
      <name val="Aptos Narrow"/>
      <family val="2"/>
      <scheme val="minor"/>
    </font>
    <font>
      <sz val="16"/>
      <color theme="1"/>
      <name val="Aptos Narrow"/>
      <family val="2"/>
      <scheme val="minor"/>
    </font>
    <font>
      <b/>
      <sz val="11"/>
      <color theme="1"/>
      <name val="Aptos Narrow"/>
      <family val="2"/>
      <scheme val="minor"/>
    </font>
    <font>
      <b/>
      <sz val="18"/>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4" tint="0.79998168889431442"/>
        <bgColor theme="4" tint="0.79998168889431442"/>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horizontal="center" vertical="center"/>
    </xf>
    <xf numFmtId="0" fontId="0" fillId="2" borderId="0" xfId="0" applyFill="1"/>
    <xf numFmtId="14" fontId="0" fillId="0" borderId="0" xfId="0" applyNumberFormat="1"/>
    <xf numFmtId="0" fontId="1" fillId="4" borderId="0" xfId="0" applyFont="1" applyFill="1" applyAlignment="1">
      <alignment horizontal="center" vertical="center" wrapText="1"/>
    </xf>
    <xf numFmtId="0" fontId="1" fillId="4" borderId="0" xfId="0" applyFont="1" applyFill="1" applyAlignment="1">
      <alignment horizontal="center" vertical="center"/>
    </xf>
    <xf numFmtId="164" fontId="1"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xf>
    <xf numFmtId="0" fontId="2" fillId="3" borderId="1" xfId="0" applyFont="1" applyFill="1" applyBorder="1"/>
    <xf numFmtId="0" fontId="0" fillId="0" borderId="0" xfId="0" pivotButton="1"/>
    <xf numFmtId="0" fontId="0" fillId="0" borderId="0" xfId="0" applyAlignment="1">
      <alignment horizontal="left"/>
    </xf>
    <xf numFmtId="0" fontId="3" fillId="0" borderId="0" xfId="0" applyFont="1"/>
    <xf numFmtId="0" fontId="2" fillId="0" borderId="0" xfId="0" applyFont="1"/>
    <xf numFmtId="0" fontId="0" fillId="0" borderId="0" xfId="0" applyNumberFormat="1"/>
  </cellXfs>
  <cellStyles count="1">
    <cellStyle name="Normal" xfId="0" builtinId="0"/>
  </cellStyles>
  <dxfs count="55">
    <dxf>
      <font>
        <color theme="9"/>
      </font>
      <fill>
        <patternFill>
          <bgColor theme="4" tint="0.59996337778862885"/>
        </patternFill>
      </fill>
    </dxf>
    <dxf>
      <fill>
        <patternFill>
          <bgColor theme="4" tint="0.39994506668294322"/>
        </patternFill>
      </fill>
    </dxf>
    <dxf>
      <fill>
        <patternFill>
          <bgColor theme="3" tint="0.89996032593768116"/>
        </patternFill>
      </fill>
    </dxf>
    <dxf>
      <font>
        <color rgb="FF9C0006"/>
      </font>
      <fill>
        <patternFill>
          <bgColor rgb="FFFFC7CE"/>
        </patternFill>
      </fill>
    </dxf>
    <dxf>
      <fill>
        <patternFill>
          <bgColor theme="0"/>
        </patternFill>
      </fill>
    </dxf>
    <dxf>
      <font>
        <color theme="9"/>
      </font>
      <fill>
        <patternFill>
          <bgColor theme="7" tint="0.39994506668294322"/>
        </patternFill>
      </fill>
    </dxf>
    <dxf>
      <font>
        <color rgb="FFFFFF00"/>
      </font>
      <fill>
        <patternFill>
          <bgColor theme="4" tint="0.79998168889431442"/>
        </patternFill>
      </fill>
    </dxf>
    <dxf>
      <font>
        <color theme="5" tint="-0.24994659260841701"/>
      </font>
    </dxf>
    <dxf>
      <font>
        <color rgb="FFFF0000"/>
      </font>
    </dxf>
    <dxf>
      <font>
        <color theme="8"/>
      </font>
    </dxf>
    <dxf>
      <numFmt numFmtId="164" formatCode="&quot;₹&quot;\ #,##0"/>
    </dxf>
    <dxf>
      <numFmt numFmtId="164" formatCode="&quot;₹&quot;\ #,##0"/>
    </dxf>
    <dxf>
      <numFmt numFmtId="164" formatCode="&quot;₹&quot;\ #,##0"/>
    </dxf>
    <dxf>
      <numFmt numFmtId="0" formatCode="Genera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9" formatCode="dd/mm/yyyy"/>
    </dxf>
    <dxf>
      <fill>
        <patternFill patternType="solid">
          <fgColor indexed="64"/>
          <bgColor theme="4" tint="0.39997558519241921"/>
        </patternFill>
      </fill>
    </dxf>
  </dxfs>
  <tableStyles count="1" defaultTableStyle="TableStyleMedium2" defaultPivotStyle="PivotStyleLight16">
    <tableStyle name="Invisible" pivot="0" table="0" count="0" xr9:uid="{CCAB6129-4755-4F9B-A0F8-9552DAC90A1F}"/>
  </tableStyles>
  <colors>
    <mruColors>
      <color rgb="FFFF9999"/>
      <color rgb="FFFFFFFF"/>
      <color rgb="FF5C1DB9"/>
      <color rgb="FF0066FF"/>
      <color rgb="FF0000FF"/>
      <color rgb="FFFFCCCC"/>
      <color rgb="FFCCECFF"/>
      <color rgb="FF66CCFF"/>
      <color rgb="FF3399FF"/>
      <color rgb="FF0D12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Kpi!$L$23</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Kpi!$M$22</c:f>
              <c:strCache>
                <c:ptCount val="1"/>
                <c:pt idx="0">
                  <c:v>Total Sale</c:v>
                </c:pt>
              </c:strCache>
            </c:strRef>
          </c:cat>
          <c:val>
            <c:numRef>
              <c:f>Kpi!$M$23</c:f>
              <c:numCache>
                <c:formatCode>"₹"\ #,##0</c:formatCode>
                <c:ptCount val="1"/>
                <c:pt idx="0">
                  <c:v>28762200</c:v>
                </c:pt>
              </c:numCache>
            </c:numRef>
          </c:val>
          <c:extLst>
            <c:ext xmlns:c16="http://schemas.microsoft.com/office/drawing/2014/chart" uri="{C3380CC4-5D6E-409C-BE32-E72D297353CC}">
              <c16:uniqueId val="{00000000-1D24-4886-B7FE-FE00EDAFD70D}"/>
            </c:ext>
          </c:extLst>
        </c:ser>
        <c:ser>
          <c:idx val="1"/>
          <c:order val="1"/>
          <c:tx>
            <c:strRef>
              <c:f>Kpi!$L$24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Kpi!$M$22</c:f>
              <c:strCache>
                <c:ptCount val="1"/>
                <c:pt idx="0">
                  <c:v>Total Sale</c:v>
                </c:pt>
              </c:strCache>
            </c:strRef>
          </c:cat>
          <c:val>
            <c:numRef>
              <c:f>Kpi!$M$24</c:f>
              <c:numCache>
                <c:formatCode>"₹"\ #,##0</c:formatCode>
                <c:ptCount val="1"/>
                <c:pt idx="0">
                  <c:v>30150200</c:v>
                </c:pt>
              </c:numCache>
            </c:numRef>
          </c:val>
          <c:extLst>
            <c:ext xmlns:c16="http://schemas.microsoft.com/office/drawing/2014/chart" uri="{C3380CC4-5D6E-409C-BE32-E72D297353CC}">
              <c16:uniqueId val="{00000001-1D24-4886-B7FE-FE00EDAFD70D}"/>
            </c:ext>
          </c:extLst>
        </c:ser>
        <c:ser>
          <c:idx val="2"/>
          <c:order val="2"/>
          <c:tx>
            <c:strRef>
              <c:f>Kpi!$L$25</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Kpi!$M$22</c:f>
              <c:strCache>
                <c:ptCount val="1"/>
                <c:pt idx="0">
                  <c:v>Total Sale</c:v>
                </c:pt>
              </c:strCache>
            </c:strRef>
          </c:cat>
          <c:val>
            <c:numRef>
              <c:f>Kpi!$M$25</c:f>
              <c:numCache>
                <c:formatCode>"₹"\ #,##0</c:formatCode>
                <c:ptCount val="1"/>
                <c:pt idx="0">
                  <c:v>26545200</c:v>
                </c:pt>
              </c:numCache>
            </c:numRef>
          </c:val>
          <c:extLst>
            <c:ext xmlns:c16="http://schemas.microsoft.com/office/drawing/2014/chart" uri="{C3380CC4-5D6E-409C-BE32-E72D297353CC}">
              <c16:uniqueId val="{00000002-1D24-4886-B7FE-FE00EDAFD70D}"/>
            </c:ext>
          </c:extLst>
        </c:ser>
        <c:ser>
          <c:idx val="3"/>
          <c:order val="3"/>
          <c:tx>
            <c:strRef>
              <c:f>Kpi!$L$26</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Kpi!$M$22</c:f>
              <c:strCache>
                <c:ptCount val="1"/>
                <c:pt idx="0">
                  <c:v>Total Sale</c:v>
                </c:pt>
              </c:strCache>
            </c:strRef>
          </c:cat>
          <c:val>
            <c:numRef>
              <c:f>Kpi!$M$26</c:f>
              <c:numCache>
                <c:formatCode>"₹"\ #,##0</c:formatCode>
                <c:ptCount val="1"/>
                <c:pt idx="0">
                  <c:v>30866400</c:v>
                </c:pt>
              </c:numCache>
            </c:numRef>
          </c:val>
          <c:extLst>
            <c:ext xmlns:c16="http://schemas.microsoft.com/office/drawing/2014/chart" uri="{C3380CC4-5D6E-409C-BE32-E72D297353CC}">
              <c16:uniqueId val="{00000003-1D24-4886-B7FE-FE00EDAFD70D}"/>
            </c:ext>
          </c:extLst>
        </c:ser>
        <c:dLbls>
          <c:dLblPos val="outEnd"/>
          <c:showLegendKey val="0"/>
          <c:showVal val="1"/>
          <c:showCatName val="0"/>
          <c:showSerName val="0"/>
          <c:showPercent val="0"/>
          <c:showBubbleSize val="0"/>
        </c:dLbls>
        <c:gapWidth val="182"/>
        <c:axId val="1752869279"/>
        <c:axId val="1752879359"/>
      </c:barChart>
      <c:catAx>
        <c:axId val="175286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79359"/>
        <c:crosses val="autoZero"/>
        <c:auto val="1"/>
        <c:lblAlgn val="ctr"/>
        <c:lblOffset val="100"/>
        <c:noMultiLvlLbl val="0"/>
      </c:catAx>
      <c:valAx>
        <c:axId val="175287935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692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Kpi!$T$25</c:f>
              <c:strCache>
                <c:ptCount val="1"/>
                <c:pt idx="0">
                  <c:v>Total Sale</c:v>
                </c:pt>
              </c:strCache>
            </c:strRef>
          </c:tx>
          <c:spPr>
            <a:solidFill>
              <a:schemeClr val="accent1"/>
            </a:solidFill>
            <a:ln>
              <a:noFill/>
            </a:ln>
            <a:effectLst/>
          </c:spPr>
          <c:invertIfNegative val="0"/>
          <c:cat>
            <c:strRef>
              <c:f>Kpi!$S$26:$S$30</c:f>
              <c:strCache>
                <c:ptCount val="5"/>
                <c:pt idx="0">
                  <c:v>Keyboard</c:v>
                </c:pt>
                <c:pt idx="1">
                  <c:v>Laptop</c:v>
                </c:pt>
                <c:pt idx="2">
                  <c:v>Monitor</c:v>
                </c:pt>
                <c:pt idx="3">
                  <c:v>Mouse</c:v>
                </c:pt>
                <c:pt idx="4">
                  <c:v>Tablet</c:v>
                </c:pt>
              </c:strCache>
            </c:strRef>
          </c:cat>
          <c:val>
            <c:numRef>
              <c:f>Kpi!$T$26:$T$30</c:f>
              <c:numCache>
                <c:formatCode>"₹"\ #,##0</c:formatCode>
                <c:ptCount val="5"/>
                <c:pt idx="0">
                  <c:v>2408000</c:v>
                </c:pt>
                <c:pt idx="1">
                  <c:v>64380000</c:v>
                </c:pt>
                <c:pt idx="2">
                  <c:v>18000000</c:v>
                </c:pt>
                <c:pt idx="3">
                  <c:v>876000</c:v>
                </c:pt>
                <c:pt idx="4">
                  <c:v>30660000</c:v>
                </c:pt>
              </c:numCache>
            </c:numRef>
          </c:val>
          <c:extLst>
            <c:ext xmlns:c16="http://schemas.microsoft.com/office/drawing/2014/chart" uri="{C3380CC4-5D6E-409C-BE32-E72D297353CC}">
              <c16:uniqueId val="{00000000-3837-457D-BC2D-520C1B392EA3}"/>
            </c:ext>
          </c:extLst>
        </c:ser>
        <c:dLbls>
          <c:showLegendKey val="0"/>
          <c:showVal val="0"/>
          <c:showCatName val="0"/>
          <c:showSerName val="0"/>
          <c:showPercent val="0"/>
          <c:showBubbleSize val="0"/>
        </c:dLbls>
        <c:gapWidth val="219"/>
        <c:overlap val="-27"/>
        <c:axId val="1799786351"/>
        <c:axId val="1799786831"/>
      </c:barChart>
      <c:catAx>
        <c:axId val="17997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86831"/>
        <c:crosses val="autoZero"/>
        <c:auto val="1"/>
        <c:lblAlgn val="ctr"/>
        <c:lblOffset val="100"/>
        <c:noMultiLvlLbl val="0"/>
      </c:catAx>
      <c:valAx>
        <c:axId val="179978683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863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Kpi!$Q$25</c:f>
              <c:strCache>
                <c:ptCount val="1"/>
                <c:pt idx="0">
                  <c:v>Total Sale</c:v>
                </c:pt>
              </c:strCache>
            </c:strRef>
          </c:tx>
          <c:spPr>
            <a:solidFill>
              <a:schemeClr val="accent1"/>
            </a:solidFill>
            <a:ln>
              <a:noFill/>
            </a:ln>
            <a:effectLst/>
          </c:spPr>
          <c:invertIfNegative val="0"/>
          <c:cat>
            <c:strRef>
              <c:f>Kpi!$P$26:$P$33</c:f>
              <c:strCache>
                <c:ptCount val="8"/>
                <c:pt idx="0">
                  <c:v>Amit</c:v>
                </c:pt>
                <c:pt idx="1">
                  <c:v>Arjun</c:v>
                </c:pt>
                <c:pt idx="2">
                  <c:v>Karan</c:v>
                </c:pt>
                <c:pt idx="3">
                  <c:v>Neha</c:v>
                </c:pt>
                <c:pt idx="4">
                  <c:v>Priya</c:v>
                </c:pt>
                <c:pt idx="5">
                  <c:v>Rahul</c:v>
                </c:pt>
                <c:pt idx="6">
                  <c:v>Rohit</c:v>
                </c:pt>
                <c:pt idx="7">
                  <c:v>Sneha</c:v>
                </c:pt>
              </c:strCache>
            </c:strRef>
          </c:cat>
          <c:val>
            <c:numRef>
              <c:f>Kpi!$Q$26:$Q$33</c:f>
              <c:numCache>
                <c:formatCode>"₹"\ #,##0</c:formatCode>
                <c:ptCount val="8"/>
                <c:pt idx="0">
                  <c:v>14126400</c:v>
                </c:pt>
                <c:pt idx="1">
                  <c:v>15636000</c:v>
                </c:pt>
                <c:pt idx="2">
                  <c:v>16222800</c:v>
                </c:pt>
                <c:pt idx="3">
                  <c:v>11931400</c:v>
                </c:pt>
                <c:pt idx="4">
                  <c:v>15056400</c:v>
                </c:pt>
                <c:pt idx="5">
                  <c:v>12809200</c:v>
                </c:pt>
                <c:pt idx="6">
                  <c:v>16455000</c:v>
                </c:pt>
                <c:pt idx="7">
                  <c:v>14086800</c:v>
                </c:pt>
              </c:numCache>
            </c:numRef>
          </c:val>
          <c:extLst>
            <c:ext xmlns:c16="http://schemas.microsoft.com/office/drawing/2014/chart" uri="{C3380CC4-5D6E-409C-BE32-E72D297353CC}">
              <c16:uniqueId val="{00000000-1B1A-4855-B793-8570A0B3DF5C}"/>
            </c:ext>
          </c:extLst>
        </c:ser>
        <c:dLbls>
          <c:showLegendKey val="0"/>
          <c:showVal val="0"/>
          <c:showCatName val="0"/>
          <c:showSerName val="0"/>
          <c:showPercent val="0"/>
          <c:showBubbleSize val="0"/>
        </c:dLbls>
        <c:gapWidth val="219"/>
        <c:overlap val="-27"/>
        <c:axId val="1752869759"/>
        <c:axId val="1752878879"/>
      </c:barChart>
      <c:catAx>
        <c:axId val="175286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78879"/>
        <c:crosses val="autoZero"/>
        <c:auto val="1"/>
        <c:lblAlgn val="ctr"/>
        <c:lblOffset val="100"/>
        <c:noMultiLvlLbl val="0"/>
      </c:catAx>
      <c:valAx>
        <c:axId val="175287887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8697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Kpi!$W$25</c:f>
              <c:strCache>
                <c:ptCount val="1"/>
                <c:pt idx="0">
                  <c:v>Total Sale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Kpi!$V$26:$V$31</c:f>
              <c:strCache>
                <c:ptCount val="6"/>
                <c:pt idx="0">
                  <c:v>Apr</c:v>
                </c:pt>
                <c:pt idx="1">
                  <c:v>Feb</c:v>
                </c:pt>
                <c:pt idx="2">
                  <c:v>Jan</c:v>
                </c:pt>
                <c:pt idx="3">
                  <c:v>Jun</c:v>
                </c:pt>
                <c:pt idx="4">
                  <c:v>Mar</c:v>
                </c:pt>
                <c:pt idx="5">
                  <c:v>May</c:v>
                </c:pt>
              </c:strCache>
            </c:strRef>
          </c:cat>
          <c:val>
            <c:numRef>
              <c:f>Kpi!$W$26:$W$31</c:f>
              <c:numCache>
                <c:formatCode>"₹"\ #,##0</c:formatCode>
                <c:ptCount val="6"/>
                <c:pt idx="0">
                  <c:v>18979000</c:v>
                </c:pt>
                <c:pt idx="1">
                  <c:v>15711600</c:v>
                </c:pt>
                <c:pt idx="2">
                  <c:v>20972200</c:v>
                </c:pt>
                <c:pt idx="3">
                  <c:v>18265200</c:v>
                </c:pt>
                <c:pt idx="4">
                  <c:v>20747800</c:v>
                </c:pt>
                <c:pt idx="5">
                  <c:v>21648200</c:v>
                </c:pt>
              </c:numCache>
            </c:numRef>
          </c:val>
          <c:smooth val="0"/>
          <c:extLst>
            <c:ext xmlns:c16="http://schemas.microsoft.com/office/drawing/2014/chart" uri="{C3380CC4-5D6E-409C-BE32-E72D297353CC}">
              <c16:uniqueId val="{00000000-6B1A-4522-BE33-8D191F2410D0}"/>
            </c:ext>
          </c:extLst>
        </c:ser>
        <c:dLbls>
          <c:showLegendKey val="0"/>
          <c:showVal val="0"/>
          <c:showCatName val="0"/>
          <c:showSerName val="0"/>
          <c:showPercent val="0"/>
          <c:showBubbleSize val="0"/>
        </c:dLbls>
        <c:marker val="1"/>
        <c:smooth val="0"/>
        <c:axId val="19930639"/>
        <c:axId val="19929199"/>
      </c:lineChart>
      <c:catAx>
        <c:axId val="1993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199"/>
        <c:crosses val="autoZero"/>
        <c:auto val="1"/>
        <c:lblAlgn val="ctr"/>
        <c:lblOffset val="100"/>
        <c:noMultiLvlLbl val="0"/>
      </c:catAx>
      <c:valAx>
        <c:axId val="1992919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6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Kpi!$Z$25</c:f>
              <c:strCache>
                <c:ptCount val="1"/>
                <c:pt idx="0">
                  <c:v>Total 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D-4DE9-A743-350AC79869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BD-4DE9-A743-350AC79869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BD-4DE9-A743-350AC79869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Kpi!$Y$26:$Y$28</c:f>
              <c:strCache>
                <c:ptCount val="3"/>
                <c:pt idx="0">
                  <c:v>High</c:v>
                </c:pt>
                <c:pt idx="1">
                  <c:v>Low</c:v>
                </c:pt>
                <c:pt idx="2">
                  <c:v>Medium</c:v>
                </c:pt>
              </c:strCache>
            </c:strRef>
          </c:cat>
          <c:val>
            <c:numRef>
              <c:f>Kpi!$Z$26:$Z$28</c:f>
              <c:numCache>
                <c:formatCode>"₹"\ #,##0</c:formatCode>
                <c:ptCount val="3"/>
                <c:pt idx="0">
                  <c:v>77160000</c:v>
                </c:pt>
                <c:pt idx="1">
                  <c:v>5504000</c:v>
                </c:pt>
                <c:pt idx="2">
                  <c:v>33660000</c:v>
                </c:pt>
              </c:numCache>
            </c:numRef>
          </c:val>
          <c:extLst>
            <c:ext xmlns:c16="http://schemas.microsoft.com/office/drawing/2014/chart" uri="{C3380CC4-5D6E-409C-BE32-E72D297353CC}">
              <c16:uniqueId val="{00000000-1C9B-435C-9BD0-6D72A2B007A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48608284911435"/>
          <c:y val="0.10181816238259844"/>
          <c:w val="0.61677287014703475"/>
          <c:h val="0.68992628204699935"/>
        </c:manualLayout>
      </c:layout>
      <c:barChart>
        <c:barDir val="bar"/>
        <c:grouping val="clustered"/>
        <c:varyColors val="0"/>
        <c:ser>
          <c:idx val="0"/>
          <c:order val="0"/>
          <c:tx>
            <c:strRef>
              <c:f>Kpi!$L$23</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Kpi!$M$22</c:f>
              <c:strCache>
                <c:ptCount val="1"/>
                <c:pt idx="0">
                  <c:v>Total Sale</c:v>
                </c:pt>
              </c:strCache>
            </c:strRef>
          </c:cat>
          <c:val>
            <c:numRef>
              <c:f>Kpi!$M$23</c:f>
              <c:numCache>
                <c:formatCode>"₹"\ #,##0</c:formatCode>
                <c:ptCount val="1"/>
                <c:pt idx="0">
                  <c:v>28762200</c:v>
                </c:pt>
              </c:numCache>
            </c:numRef>
          </c:val>
          <c:extLst>
            <c:ext xmlns:c16="http://schemas.microsoft.com/office/drawing/2014/chart" uri="{C3380CC4-5D6E-409C-BE32-E72D297353CC}">
              <c16:uniqueId val="{00000000-B2C9-4A10-9B9A-D78373177372}"/>
            </c:ext>
          </c:extLst>
        </c:ser>
        <c:ser>
          <c:idx val="1"/>
          <c:order val="1"/>
          <c:tx>
            <c:strRef>
              <c:f>Kpi!$L$24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Kpi!$M$22</c:f>
              <c:strCache>
                <c:ptCount val="1"/>
                <c:pt idx="0">
                  <c:v>Total Sale</c:v>
                </c:pt>
              </c:strCache>
            </c:strRef>
          </c:cat>
          <c:val>
            <c:numRef>
              <c:f>Kpi!$M$24</c:f>
              <c:numCache>
                <c:formatCode>"₹"\ #,##0</c:formatCode>
                <c:ptCount val="1"/>
                <c:pt idx="0">
                  <c:v>30150200</c:v>
                </c:pt>
              </c:numCache>
            </c:numRef>
          </c:val>
          <c:extLst>
            <c:ext xmlns:c16="http://schemas.microsoft.com/office/drawing/2014/chart" uri="{C3380CC4-5D6E-409C-BE32-E72D297353CC}">
              <c16:uniqueId val="{00000001-B2C9-4A10-9B9A-D78373177372}"/>
            </c:ext>
          </c:extLst>
        </c:ser>
        <c:ser>
          <c:idx val="2"/>
          <c:order val="2"/>
          <c:tx>
            <c:strRef>
              <c:f>Kpi!$L$25</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Kpi!$M$22</c:f>
              <c:strCache>
                <c:ptCount val="1"/>
                <c:pt idx="0">
                  <c:v>Total Sale</c:v>
                </c:pt>
              </c:strCache>
            </c:strRef>
          </c:cat>
          <c:val>
            <c:numRef>
              <c:f>Kpi!$M$25</c:f>
              <c:numCache>
                <c:formatCode>"₹"\ #,##0</c:formatCode>
                <c:ptCount val="1"/>
                <c:pt idx="0">
                  <c:v>26545200</c:v>
                </c:pt>
              </c:numCache>
            </c:numRef>
          </c:val>
          <c:extLst>
            <c:ext xmlns:c16="http://schemas.microsoft.com/office/drawing/2014/chart" uri="{C3380CC4-5D6E-409C-BE32-E72D297353CC}">
              <c16:uniqueId val="{00000002-B2C9-4A10-9B9A-D78373177372}"/>
            </c:ext>
          </c:extLst>
        </c:ser>
        <c:ser>
          <c:idx val="3"/>
          <c:order val="3"/>
          <c:tx>
            <c:strRef>
              <c:f>Kpi!$L$26</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Kpi!$M$22</c:f>
              <c:strCache>
                <c:ptCount val="1"/>
                <c:pt idx="0">
                  <c:v>Total Sale</c:v>
                </c:pt>
              </c:strCache>
            </c:strRef>
          </c:cat>
          <c:val>
            <c:numRef>
              <c:f>Kpi!$M$26</c:f>
              <c:numCache>
                <c:formatCode>"₹"\ #,##0</c:formatCode>
                <c:ptCount val="1"/>
                <c:pt idx="0">
                  <c:v>30866400</c:v>
                </c:pt>
              </c:numCache>
            </c:numRef>
          </c:val>
          <c:extLst>
            <c:ext xmlns:c16="http://schemas.microsoft.com/office/drawing/2014/chart" uri="{C3380CC4-5D6E-409C-BE32-E72D297353CC}">
              <c16:uniqueId val="{00000003-B2C9-4A10-9B9A-D78373177372}"/>
            </c:ext>
          </c:extLst>
        </c:ser>
        <c:dLbls>
          <c:dLblPos val="outEnd"/>
          <c:showLegendKey val="0"/>
          <c:showVal val="1"/>
          <c:showCatName val="0"/>
          <c:showSerName val="0"/>
          <c:showPercent val="0"/>
          <c:showBubbleSize val="0"/>
        </c:dLbls>
        <c:gapWidth val="182"/>
        <c:axId val="1752869279"/>
        <c:axId val="1752879359"/>
      </c:barChart>
      <c:catAx>
        <c:axId val="175286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752879359"/>
        <c:crosses val="autoZero"/>
        <c:auto val="1"/>
        <c:lblAlgn val="ctr"/>
        <c:lblOffset val="100"/>
        <c:noMultiLvlLbl val="0"/>
      </c:catAx>
      <c:valAx>
        <c:axId val="175287935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7528692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17745178968801"/>
          <c:y val="5.6670599955997374E-2"/>
          <c:w val="0.77682254821031205"/>
          <c:h val="0.7407607665637298"/>
        </c:manualLayout>
      </c:layout>
      <c:barChart>
        <c:barDir val="col"/>
        <c:grouping val="clustered"/>
        <c:varyColors val="0"/>
        <c:ser>
          <c:idx val="0"/>
          <c:order val="0"/>
          <c:tx>
            <c:strRef>
              <c:f>Kpi!$T$25</c:f>
              <c:strCache>
                <c:ptCount val="1"/>
                <c:pt idx="0">
                  <c:v>Total Sale</c:v>
                </c:pt>
              </c:strCache>
            </c:strRef>
          </c:tx>
          <c:spPr>
            <a:solidFill>
              <a:schemeClr val="accent1"/>
            </a:solidFill>
            <a:ln>
              <a:noFill/>
            </a:ln>
            <a:effectLst/>
          </c:spPr>
          <c:invertIfNegative val="0"/>
          <c:cat>
            <c:strRef>
              <c:f>Kpi!$S$26:$S$30</c:f>
              <c:strCache>
                <c:ptCount val="5"/>
                <c:pt idx="0">
                  <c:v>Keyboard</c:v>
                </c:pt>
                <c:pt idx="1">
                  <c:v>Laptop</c:v>
                </c:pt>
                <c:pt idx="2">
                  <c:v>Monitor</c:v>
                </c:pt>
                <c:pt idx="3">
                  <c:v>Mouse</c:v>
                </c:pt>
                <c:pt idx="4">
                  <c:v>Tablet</c:v>
                </c:pt>
              </c:strCache>
            </c:strRef>
          </c:cat>
          <c:val>
            <c:numRef>
              <c:f>Kpi!$T$26:$T$30</c:f>
              <c:numCache>
                <c:formatCode>"₹"\ #,##0</c:formatCode>
                <c:ptCount val="5"/>
                <c:pt idx="0">
                  <c:v>2408000</c:v>
                </c:pt>
                <c:pt idx="1">
                  <c:v>64380000</c:v>
                </c:pt>
                <c:pt idx="2">
                  <c:v>18000000</c:v>
                </c:pt>
                <c:pt idx="3">
                  <c:v>876000</c:v>
                </c:pt>
                <c:pt idx="4">
                  <c:v>30660000</c:v>
                </c:pt>
              </c:numCache>
            </c:numRef>
          </c:val>
          <c:extLst>
            <c:ext xmlns:c16="http://schemas.microsoft.com/office/drawing/2014/chart" uri="{C3380CC4-5D6E-409C-BE32-E72D297353CC}">
              <c16:uniqueId val="{00000000-B1AF-423A-BB51-BFB1DADBE129}"/>
            </c:ext>
          </c:extLst>
        </c:ser>
        <c:dLbls>
          <c:showLegendKey val="0"/>
          <c:showVal val="0"/>
          <c:showCatName val="0"/>
          <c:showSerName val="0"/>
          <c:showPercent val="0"/>
          <c:showBubbleSize val="0"/>
        </c:dLbls>
        <c:gapWidth val="219"/>
        <c:overlap val="-27"/>
        <c:axId val="1799786351"/>
        <c:axId val="1799786831"/>
      </c:barChart>
      <c:catAx>
        <c:axId val="17997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799786831"/>
        <c:crosses val="autoZero"/>
        <c:auto val="1"/>
        <c:lblAlgn val="ctr"/>
        <c:lblOffset val="100"/>
        <c:noMultiLvlLbl val="0"/>
      </c:catAx>
      <c:valAx>
        <c:axId val="179978683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7997863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36150792300214"/>
          <c:y val="6.9643092025964262E-2"/>
          <c:w val="0.78460024161609909"/>
          <c:h val="0.6758207216986587"/>
        </c:manualLayout>
      </c:layout>
      <c:barChart>
        <c:barDir val="col"/>
        <c:grouping val="clustered"/>
        <c:varyColors val="0"/>
        <c:ser>
          <c:idx val="0"/>
          <c:order val="0"/>
          <c:tx>
            <c:strRef>
              <c:f>Kpi!$Q$25</c:f>
              <c:strCache>
                <c:ptCount val="1"/>
                <c:pt idx="0">
                  <c:v>Total Sale</c:v>
                </c:pt>
              </c:strCache>
            </c:strRef>
          </c:tx>
          <c:spPr>
            <a:solidFill>
              <a:schemeClr val="accent1"/>
            </a:solidFill>
            <a:ln>
              <a:noFill/>
            </a:ln>
            <a:effectLst/>
          </c:spPr>
          <c:invertIfNegative val="0"/>
          <c:cat>
            <c:strRef>
              <c:f>Kpi!$P$26:$P$33</c:f>
              <c:strCache>
                <c:ptCount val="8"/>
                <c:pt idx="0">
                  <c:v>Amit</c:v>
                </c:pt>
                <c:pt idx="1">
                  <c:v>Arjun</c:v>
                </c:pt>
                <c:pt idx="2">
                  <c:v>Karan</c:v>
                </c:pt>
                <c:pt idx="3">
                  <c:v>Neha</c:v>
                </c:pt>
                <c:pt idx="4">
                  <c:v>Priya</c:v>
                </c:pt>
                <c:pt idx="5">
                  <c:v>Rahul</c:v>
                </c:pt>
                <c:pt idx="6">
                  <c:v>Rohit</c:v>
                </c:pt>
                <c:pt idx="7">
                  <c:v>Sneha</c:v>
                </c:pt>
              </c:strCache>
            </c:strRef>
          </c:cat>
          <c:val>
            <c:numRef>
              <c:f>Kpi!$Q$26:$Q$33</c:f>
              <c:numCache>
                <c:formatCode>"₹"\ #,##0</c:formatCode>
                <c:ptCount val="8"/>
                <c:pt idx="0">
                  <c:v>14126400</c:v>
                </c:pt>
                <c:pt idx="1">
                  <c:v>15636000</c:v>
                </c:pt>
                <c:pt idx="2">
                  <c:v>16222800</c:v>
                </c:pt>
                <c:pt idx="3">
                  <c:v>11931400</c:v>
                </c:pt>
                <c:pt idx="4">
                  <c:v>15056400</c:v>
                </c:pt>
                <c:pt idx="5">
                  <c:v>12809200</c:v>
                </c:pt>
                <c:pt idx="6">
                  <c:v>16455000</c:v>
                </c:pt>
                <c:pt idx="7">
                  <c:v>14086800</c:v>
                </c:pt>
              </c:numCache>
            </c:numRef>
          </c:val>
          <c:extLst>
            <c:ext xmlns:c16="http://schemas.microsoft.com/office/drawing/2014/chart" uri="{C3380CC4-5D6E-409C-BE32-E72D297353CC}">
              <c16:uniqueId val="{00000000-B24C-47A4-8C60-C6CBA0D8DDE7}"/>
            </c:ext>
          </c:extLst>
        </c:ser>
        <c:dLbls>
          <c:showLegendKey val="0"/>
          <c:showVal val="0"/>
          <c:showCatName val="0"/>
          <c:showSerName val="0"/>
          <c:showPercent val="0"/>
          <c:showBubbleSize val="0"/>
        </c:dLbls>
        <c:gapWidth val="219"/>
        <c:overlap val="-27"/>
        <c:axId val="1752869759"/>
        <c:axId val="1752878879"/>
      </c:barChart>
      <c:catAx>
        <c:axId val="175286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752878879"/>
        <c:crosses val="autoZero"/>
        <c:auto val="1"/>
        <c:lblAlgn val="ctr"/>
        <c:lblOffset val="100"/>
        <c:noMultiLvlLbl val="0"/>
      </c:catAx>
      <c:valAx>
        <c:axId val="175287887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crossAx val="17528697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11688652309988"/>
          <c:y val="0.1232180609700448"/>
          <c:w val="0.71602280768458959"/>
          <c:h val="0.72901573754067617"/>
        </c:manualLayout>
      </c:layout>
      <c:lineChart>
        <c:grouping val="stacked"/>
        <c:varyColors val="0"/>
        <c:ser>
          <c:idx val="0"/>
          <c:order val="0"/>
          <c:tx>
            <c:strRef>
              <c:f>Kpi!$W$25</c:f>
              <c:strCache>
                <c:ptCount val="1"/>
                <c:pt idx="0">
                  <c:v>Total Sale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Kpi!$V$26:$V$31</c:f>
              <c:strCache>
                <c:ptCount val="6"/>
                <c:pt idx="0">
                  <c:v>Apr</c:v>
                </c:pt>
                <c:pt idx="1">
                  <c:v>Feb</c:v>
                </c:pt>
                <c:pt idx="2">
                  <c:v>Jan</c:v>
                </c:pt>
                <c:pt idx="3">
                  <c:v>Jun</c:v>
                </c:pt>
                <c:pt idx="4">
                  <c:v>Mar</c:v>
                </c:pt>
                <c:pt idx="5">
                  <c:v>May</c:v>
                </c:pt>
              </c:strCache>
            </c:strRef>
          </c:cat>
          <c:val>
            <c:numRef>
              <c:f>Kpi!$W$26:$W$31</c:f>
              <c:numCache>
                <c:formatCode>"₹"\ #,##0</c:formatCode>
                <c:ptCount val="6"/>
                <c:pt idx="0">
                  <c:v>18979000</c:v>
                </c:pt>
                <c:pt idx="1">
                  <c:v>15711600</c:v>
                </c:pt>
                <c:pt idx="2">
                  <c:v>20972200</c:v>
                </c:pt>
                <c:pt idx="3">
                  <c:v>18265200</c:v>
                </c:pt>
                <c:pt idx="4">
                  <c:v>20747800</c:v>
                </c:pt>
                <c:pt idx="5">
                  <c:v>21648200</c:v>
                </c:pt>
              </c:numCache>
            </c:numRef>
          </c:val>
          <c:smooth val="0"/>
          <c:extLst>
            <c:ext xmlns:c16="http://schemas.microsoft.com/office/drawing/2014/chart" uri="{C3380CC4-5D6E-409C-BE32-E72D297353CC}">
              <c16:uniqueId val="{00000000-7E1B-46DA-B36B-7C6D3FEBB4A7}"/>
            </c:ext>
          </c:extLst>
        </c:ser>
        <c:dLbls>
          <c:showLegendKey val="0"/>
          <c:showVal val="0"/>
          <c:showCatName val="0"/>
          <c:showSerName val="0"/>
          <c:showPercent val="0"/>
          <c:showBubbleSize val="0"/>
        </c:dLbls>
        <c:marker val="1"/>
        <c:smooth val="0"/>
        <c:axId val="19930639"/>
        <c:axId val="19929199"/>
      </c:lineChart>
      <c:catAx>
        <c:axId val="1993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crossAx val="19929199"/>
        <c:crosses val="autoZero"/>
        <c:auto val="1"/>
        <c:lblAlgn val="ctr"/>
        <c:lblOffset val="100"/>
        <c:noMultiLvlLbl val="0"/>
      </c:catAx>
      <c:valAx>
        <c:axId val="1992919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crossAx val="199306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31813512137032"/>
          <c:y val="0.12604344440360829"/>
          <c:w val="0.46493947798898255"/>
          <c:h val="0.82301017790408681"/>
        </c:manualLayout>
      </c:layout>
      <c:pieChart>
        <c:varyColors val="1"/>
        <c:ser>
          <c:idx val="0"/>
          <c:order val="0"/>
          <c:tx>
            <c:strRef>
              <c:f>Kpi!$Z$25</c:f>
              <c:strCache>
                <c:ptCount val="1"/>
                <c:pt idx="0">
                  <c:v>Total 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F3-4497-B98E-3A655B8AB8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F3-4497-B98E-3A655B8AB8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F3-4497-B98E-3A655B8AB8B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Kpi!$Y$26:$Y$28</c:f>
              <c:strCache>
                <c:ptCount val="3"/>
                <c:pt idx="0">
                  <c:v>High</c:v>
                </c:pt>
                <c:pt idx="1">
                  <c:v>Low</c:v>
                </c:pt>
                <c:pt idx="2">
                  <c:v>Medium</c:v>
                </c:pt>
              </c:strCache>
            </c:strRef>
          </c:cat>
          <c:val>
            <c:numRef>
              <c:f>Kpi!$Z$26:$Z$28</c:f>
              <c:numCache>
                <c:formatCode>"₹"\ #,##0</c:formatCode>
                <c:ptCount val="3"/>
                <c:pt idx="0">
                  <c:v>77160000</c:v>
                </c:pt>
                <c:pt idx="1">
                  <c:v>5504000</c:v>
                </c:pt>
                <c:pt idx="2">
                  <c:v>33660000</c:v>
                </c:pt>
              </c:numCache>
            </c:numRef>
          </c:val>
          <c:extLst>
            <c:ext xmlns:c16="http://schemas.microsoft.com/office/drawing/2014/chart" uri="{C3380CC4-5D6E-409C-BE32-E72D297353CC}">
              <c16:uniqueId val="{00000006-0AF3-4497-B98E-3A655B8AB8B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hyperlink" Target="#Rawdata!A1"/><Relationship Id="rId21" Type="http://schemas.openxmlformats.org/officeDocument/2006/relationships/image" Target="../media/image15.png"/><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hyperlink" Target="#welcome!A1"/><Relationship Id="rId16" Type="http://schemas.openxmlformats.org/officeDocument/2006/relationships/image" Target="../media/image11.png"/><Relationship Id="rId20" Type="http://schemas.openxmlformats.org/officeDocument/2006/relationships/hyperlink" Target="#suggestion!A1"/><Relationship Id="rId1" Type="http://schemas.openxmlformats.org/officeDocument/2006/relationships/hyperlink" Target="#Kpi!A1"/><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hyperlink" Target="#Insight!A1"/><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hyperlink" Target="#Dashboard!A1"/><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6.sv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6.svg"/><Relationship Id="rId7" Type="http://schemas.openxmlformats.org/officeDocument/2006/relationships/hyperlink" Target="#welcome!A1"/><Relationship Id="rId2" Type="http://schemas.openxmlformats.org/officeDocument/2006/relationships/image" Target="../media/image5.png"/><Relationship Id="rId1" Type="http://schemas.openxmlformats.org/officeDocument/2006/relationships/hyperlink" Target="#Rawdata!A1"/><Relationship Id="rId6" Type="http://schemas.openxmlformats.org/officeDocument/2006/relationships/image" Target="../media/image18.svg"/><Relationship Id="rId11" Type="http://schemas.openxmlformats.org/officeDocument/2006/relationships/image" Target="../media/image22.svg"/><Relationship Id="rId5" Type="http://schemas.openxmlformats.org/officeDocument/2006/relationships/image" Target="../media/image17.png"/><Relationship Id="rId10" Type="http://schemas.openxmlformats.org/officeDocument/2006/relationships/image" Target="../media/image21.png"/><Relationship Id="rId4" Type="http://schemas.openxmlformats.org/officeDocument/2006/relationships/hyperlink" Target="#Kpi!A1"/><Relationship Id="rId9" Type="http://schemas.openxmlformats.org/officeDocument/2006/relationships/image" Target="../media/image20.sv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chart" Target="../charts/chart9.xml"/><Relationship Id="rId3" Type="http://schemas.openxmlformats.org/officeDocument/2006/relationships/image" Target="../media/image17.png"/><Relationship Id="rId7" Type="http://schemas.openxmlformats.org/officeDocument/2006/relationships/hyperlink" Target="#welcome!A1"/><Relationship Id="rId12" Type="http://schemas.openxmlformats.org/officeDocument/2006/relationships/chart" Target="../charts/chart8.xml"/><Relationship Id="rId2" Type="http://schemas.openxmlformats.org/officeDocument/2006/relationships/hyperlink" Target="#Insight!A1"/><Relationship Id="rId1" Type="http://schemas.openxmlformats.org/officeDocument/2006/relationships/hyperlink" Target="#Kpi!A1"/><Relationship Id="rId6" Type="http://schemas.openxmlformats.org/officeDocument/2006/relationships/image" Target="../media/image20.svg"/><Relationship Id="rId11" Type="http://schemas.openxmlformats.org/officeDocument/2006/relationships/chart" Target="../charts/chart7.xml"/><Relationship Id="rId5" Type="http://schemas.openxmlformats.org/officeDocument/2006/relationships/image" Target="../media/image19.png"/><Relationship Id="rId10" Type="http://schemas.openxmlformats.org/officeDocument/2006/relationships/chart" Target="../charts/chart6.xml"/><Relationship Id="rId4" Type="http://schemas.openxmlformats.org/officeDocument/2006/relationships/image" Target="../media/image23.svg"/><Relationship Id="rId9" Type="http://schemas.openxmlformats.org/officeDocument/2006/relationships/image" Target="../media/image22.svg"/><Relationship Id="rId1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hyperlink" Target="#suggestion!A1"/><Relationship Id="rId7" Type="http://schemas.openxmlformats.org/officeDocument/2006/relationships/image" Target="../media/image27.png"/><Relationship Id="rId2" Type="http://schemas.openxmlformats.org/officeDocument/2006/relationships/image" Target="../media/image24.png"/><Relationship Id="rId1" Type="http://schemas.openxmlformats.org/officeDocument/2006/relationships/hyperlink" Target="#welcome!A1"/><Relationship Id="rId6" Type="http://schemas.openxmlformats.org/officeDocument/2006/relationships/image" Target="../media/image26.png"/><Relationship Id="rId5" Type="http://schemas.openxmlformats.org/officeDocument/2006/relationships/hyperlink" Target="#Dashboard!A1"/><Relationship Id="rId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3" Type="http://schemas.openxmlformats.org/officeDocument/2006/relationships/hyperlink" Target="#Insight!A1"/><Relationship Id="rId2" Type="http://schemas.openxmlformats.org/officeDocument/2006/relationships/image" Target="../media/image24.png"/><Relationship Id="rId1" Type="http://schemas.openxmlformats.org/officeDocument/2006/relationships/hyperlink" Target="#welcome!A1"/><Relationship Id="rId6" Type="http://schemas.openxmlformats.org/officeDocument/2006/relationships/image" Target="../media/image29.svg"/><Relationship Id="rId5" Type="http://schemas.openxmlformats.org/officeDocument/2006/relationships/image" Target="../media/image15.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xdr:col>
      <xdr:colOff>495300</xdr:colOff>
      <xdr:row>22</xdr:row>
      <xdr:rowOff>47624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508C667-3AA9-A899-4F4F-B58853DF79FF}"/>
            </a:ext>
          </a:extLst>
        </xdr:cNvPr>
        <xdr:cNvSpPr/>
      </xdr:nvSpPr>
      <xdr:spPr>
        <a:xfrm>
          <a:off x="19050" y="0"/>
          <a:ext cx="1695450" cy="4238624"/>
        </a:xfrm>
        <a:prstGeom prst="rect">
          <a:avLst/>
        </a:prstGeom>
        <a:gradFill>
          <a:gsLst>
            <a:gs pos="48000">
              <a:srgbClr val="9999CC"/>
            </a:gs>
            <a:gs pos="35000">
              <a:srgbClr val="3399FF"/>
            </a:gs>
            <a:gs pos="100000">
              <a:srgbClr val="FF9999"/>
            </a:gs>
          </a:gsLst>
          <a:path path="circle">
            <a:fillToRect l="50000" t="-80000" r="50000" b="180000"/>
          </a:path>
        </a:gradFill>
        <a:ln>
          <a:noFill/>
        </a:ln>
        <a:effectLst>
          <a:glow rad="101600">
            <a:schemeClr val="accent4">
              <a:satMod val="175000"/>
              <a:alpha val="40000"/>
            </a:schemeClr>
          </a:glow>
          <a:innerShdw blurRad="114300">
            <a:prstClr val="black"/>
          </a:innerShdw>
          <a:reflection blurRad="6350" stA="50000" endA="300" endPos="90000" dir="5400000" sy="-100000" algn="bl" rotWithShape="0"/>
          <a:softEdge rad="63500"/>
        </a:effectLst>
        <a:scene3d>
          <a:camera prst="orthographicFront"/>
          <a:lightRig rig="sunrise" dir="t"/>
        </a:scene3d>
        <a:sp3d extrusionH="25400" contourW="25400" prstMaterial="dkEdge">
          <a:bevelT w="25400" h="25400"/>
          <a:bevelB w="25400" h="254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428625</xdr:colOff>
      <xdr:row>1</xdr:row>
      <xdr:rowOff>142875</xdr:rowOff>
    </xdr:from>
    <xdr:to>
      <xdr:col>2</xdr:col>
      <xdr:colOff>469425</xdr:colOff>
      <xdr:row>3</xdr:row>
      <xdr:rowOff>152400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75CB4ACA-445C-2158-E502-0523EB3A1DD5}"/>
            </a:ext>
          </a:extLst>
        </xdr:cNvPr>
        <xdr:cNvSpPr/>
      </xdr:nvSpPr>
      <xdr:spPr>
        <a:xfrm>
          <a:off x="428625" y="333375"/>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6200000">
                  <a:prstClr val="black">
                    <a:alpha val="50000"/>
                  </a:prstClr>
                </a:innerShdw>
                <a:reflection blurRad="6350" stA="50000" endA="300" endPos="50000" dist="60007" dir="5400000" sy="-100000" algn="bl" rotWithShape="0"/>
              </a:effectLst>
            </a:rPr>
            <a:t>Welcome</a:t>
          </a:r>
        </a:p>
      </xdr:txBody>
    </xdr:sp>
    <xdr:clientData/>
  </xdr:twoCellAnchor>
  <xdr:twoCellAnchor>
    <xdr:from>
      <xdr:col>0</xdr:col>
      <xdr:colOff>428625</xdr:colOff>
      <xdr:row>4</xdr:row>
      <xdr:rowOff>47625</xdr:rowOff>
    </xdr:from>
    <xdr:to>
      <xdr:col>2</xdr:col>
      <xdr:colOff>469425</xdr:colOff>
      <xdr:row>6</xdr:row>
      <xdr:rowOff>57150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F9FE049F-FA8C-AFB5-AF0E-57A8D77ADC09}"/>
            </a:ext>
          </a:extLst>
        </xdr:cNvPr>
        <xdr:cNvSpPr/>
      </xdr:nvSpPr>
      <xdr:spPr>
        <a:xfrm>
          <a:off x="428625" y="809625"/>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63500" dist="25400" dir="5400000" sy="-20000" rotWithShape="0">
                  <a:prstClr val="black">
                    <a:alpha val="25000"/>
                  </a:prstClr>
                </a:outerShdw>
                <a:reflection blurRad="6350" stA="50000" endA="300" endPos="50000" dist="60007" dir="5400000" sy="-100000" algn="bl" rotWithShape="0"/>
              </a:effectLst>
            </a:rPr>
            <a:t>Introduction</a:t>
          </a:r>
        </a:p>
      </xdr:txBody>
    </xdr:sp>
    <xdr:clientData/>
  </xdr:twoCellAnchor>
  <xdr:twoCellAnchor>
    <xdr:from>
      <xdr:col>0</xdr:col>
      <xdr:colOff>428625</xdr:colOff>
      <xdr:row>6</xdr:row>
      <xdr:rowOff>133350</xdr:rowOff>
    </xdr:from>
    <xdr:to>
      <xdr:col>2</xdr:col>
      <xdr:colOff>469425</xdr:colOff>
      <xdr:row>8</xdr:row>
      <xdr:rowOff>142875</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D5292A96-AD32-3B5E-0666-90803FD76ACB}"/>
            </a:ext>
          </a:extLst>
        </xdr:cNvPr>
        <xdr:cNvSpPr/>
      </xdr:nvSpPr>
      <xdr:spPr>
        <a:xfrm>
          <a:off x="428625" y="1276350"/>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63500" dist="25400" dir="5400000" sy="-20000" rotWithShape="0">
                  <a:prstClr val="black">
                    <a:alpha val="25000"/>
                  </a:prstClr>
                </a:outerShdw>
                <a:reflection blurRad="6350" stA="50000" endA="300" endPos="50000" dist="60007" dir="5400000" sy="-100000" algn="bl" rotWithShape="0"/>
              </a:effectLst>
            </a:rPr>
            <a:t>Raw data</a:t>
          </a:r>
        </a:p>
      </xdr:txBody>
    </xdr:sp>
    <xdr:clientData/>
  </xdr:twoCellAnchor>
  <xdr:twoCellAnchor>
    <xdr:from>
      <xdr:col>0</xdr:col>
      <xdr:colOff>428625</xdr:colOff>
      <xdr:row>9</xdr:row>
      <xdr:rowOff>0</xdr:rowOff>
    </xdr:from>
    <xdr:to>
      <xdr:col>2</xdr:col>
      <xdr:colOff>469425</xdr:colOff>
      <xdr:row>11</xdr:row>
      <xdr:rowOff>9525</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661766C2-4FB0-2152-A2A1-D1F49C0F7A17}"/>
            </a:ext>
          </a:extLst>
        </xdr:cNvPr>
        <xdr:cNvSpPr/>
      </xdr:nvSpPr>
      <xdr:spPr>
        <a:xfrm>
          <a:off x="428625" y="1714500"/>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63500" dist="25400" dir="5400000" sy="-20000" rotWithShape="0">
                  <a:prstClr val="black">
                    <a:alpha val="25000"/>
                  </a:prstClr>
                </a:outerShdw>
                <a:reflection blurRad="6350" stA="50000" endA="300" endPos="50000" dist="60007" dir="5400000" sy="-100000" algn="bl" rotWithShape="0"/>
              </a:effectLst>
            </a:rPr>
            <a:t>Kpi</a:t>
          </a:r>
        </a:p>
      </xdr:txBody>
    </xdr:sp>
    <xdr:clientData/>
  </xdr:twoCellAnchor>
  <xdr:twoCellAnchor>
    <xdr:from>
      <xdr:col>0</xdr:col>
      <xdr:colOff>428625</xdr:colOff>
      <xdr:row>11</xdr:row>
      <xdr:rowOff>76200</xdr:rowOff>
    </xdr:from>
    <xdr:to>
      <xdr:col>2</xdr:col>
      <xdr:colOff>469425</xdr:colOff>
      <xdr:row>13</xdr:row>
      <xdr:rowOff>85725</xdr:rowOff>
    </xdr:to>
    <xdr:sp macro="" textlink="">
      <xdr:nvSpPr>
        <xdr:cNvPr id="7" name="Rectangle 6">
          <a:hlinkClick xmlns:r="http://schemas.openxmlformats.org/officeDocument/2006/relationships" r:id="rId4"/>
          <a:extLst>
            <a:ext uri="{FF2B5EF4-FFF2-40B4-BE49-F238E27FC236}">
              <a16:creationId xmlns:a16="http://schemas.microsoft.com/office/drawing/2014/main" id="{3321D2EE-35D3-C982-CCD6-C7763AEFCBBF}"/>
            </a:ext>
          </a:extLst>
        </xdr:cNvPr>
        <xdr:cNvSpPr/>
      </xdr:nvSpPr>
      <xdr:spPr>
        <a:xfrm>
          <a:off x="428625" y="2171700"/>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63500" dist="25400" dir="5400000" sy="-20000" rotWithShape="0">
                  <a:prstClr val="black">
                    <a:alpha val="25000"/>
                  </a:prstClr>
                </a:outerShdw>
                <a:reflection blurRad="6350" stA="50000" endA="300" endPos="50000" dist="60007" dir="5400000" sy="-100000" algn="bl" rotWithShape="0"/>
              </a:effectLst>
            </a:rPr>
            <a:t>Dashboard</a:t>
          </a:r>
        </a:p>
      </xdr:txBody>
    </xdr:sp>
    <xdr:clientData/>
  </xdr:twoCellAnchor>
  <xdr:twoCellAnchor>
    <xdr:from>
      <xdr:col>0</xdr:col>
      <xdr:colOff>428625</xdr:colOff>
      <xdr:row>13</xdr:row>
      <xdr:rowOff>171450</xdr:rowOff>
    </xdr:from>
    <xdr:to>
      <xdr:col>2</xdr:col>
      <xdr:colOff>469425</xdr:colOff>
      <xdr:row>15</xdr:row>
      <xdr:rowOff>180975</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00DF1222-2D3F-1840-E621-9A24E16303CD}"/>
            </a:ext>
          </a:extLst>
        </xdr:cNvPr>
        <xdr:cNvSpPr/>
      </xdr:nvSpPr>
      <xdr:spPr>
        <a:xfrm>
          <a:off x="428625" y="2647950"/>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63500" dist="25400" dir="5400000" sy="-20000" rotWithShape="0">
                  <a:prstClr val="black">
                    <a:alpha val="25000"/>
                  </a:prstClr>
                </a:outerShdw>
                <a:reflection blurRad="6350" stA="50000" endA="300" endPos="50000" dist="60007" dir="5400000" sy="-100000" algn="bl" rotWithShape="0"/>
              </a:effectLst>
            </a:rPr>
            <a:t>Insight</a:t>
          </a:r>
        </a:p>
      </xdr:txBody>
    </xdr:sp>
    <xdr:clientData/>
  </xdr:twoCellAnchor>
  <xdr:twoCellAnchor editAs="oneCell">
    <xdr:from>
      <xdr:col>0</xdr:col>
      <xdr:colOff>66676</xdr:colOff>
      <xdr:row>8</xdr:row>
      <xdr:rowOff>163017</xdr:rowOff>
    </xdr:from>
    <xdr:to>
      <xdr:col>0</xdr:col>
      <xdr:colOff>457200</xdr:colOff>
      <xdr:row>10</xdr:row>
      <xdr:rowOff>172541</xdr:rowOff>
    </xdr:to>
    <xdr:pic>
      <xdr:nvPicPr>
        <xdr:cNvPr id="10" name="Graphic 9" descr="Bar chart with solid fill">
          <a:hlinkClick xmlns:r="http://schemas.openxmlformats.org/officeDocument/2006/relationships" r:id="rId1"/>
          <a:extLst>
            <a:ext uri="{FF2B5EF4-FFF2-40B4-BE49-F238E27FC236}">
              <a16:creationId xmlns:a16="http://schemas.microsoft.com/office/drawing/2014/main" id="{F3AC0202-D5EE-1812-4B5C-00085F8885D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676" y="1687017"/>
          <a:ext cx="390524" cy="390524"/>
        </a:xfrm>
        <a:prstGeom prst="rect">
          <a:avLst/>
        </a:prstGeom>
      </xdr:spPr>
    </xdr:pic>
    <xdr:clientData/>
  </xdr:twoCellAnchor>
  <xdr:twoCellAnchor editAs="oneCell">
    <xdr:from>
      <xdr:col>0</xdr:col>
      <xdr:colOff>111901</xdr:colOff>
      <xdr:row>4</xdr:row>
      <xdr:rowOff>73179</xdr:rowOff>
    </xdr:from>
    <xdr:to>
      <xdr:col>0</xdr:col>
      <xdr:colOff>426159</xdr:colOff>
      <xdr:row>6</xdr:row>
      <xdr:rowOff>6437</xdr:rowOff>
    </xdr:to>
    <xdr:pic>
      <xdr:nvPicPr>
        <xdr:cNvPr id="12" name="Graphic 11" descr="Closed book with solid fill">
          <a:extLst>
            <a:ext uri="{FF2B5EF4-FFF2-40B4-BE49-F238E27FC236}">
              <a16:creationId xmlns:a16="http://schemas.microsoft.com/office/drawing/2014/main" id="{A09FDA03-322D-39A9-543A-457D9F81236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901" y="835179"/>
          <a:ext cx="314258" cy="314258"/>
        </a:xfrm>
        <a:prstGeom prst="rect">
          <a:avLst/>
        </a:prstGeom>
      </xdr:spPr>
    </xdr:pic>
    <xdr:clientData/>
  </xdr:twoCellAnchor>
  <xdr:twoCellAnchor editAs="oneCell">
    <xdr:from>
      <xdr:col>0</xdr:col>
      <xdr:colOff>80926</xdr:colOff>
      <xdr:row>6</xdr:row>
      <xdr:rowOff>138075</xdr:rowOff>
    </xdr:from>
    <xdr:to>
      <xdr:col>0</xdr:col>
      <xdr:colOff>471450</xdr:colOff>
      <xdr:row>8</xdr:row>
      <xdr:rowOff>147599</xdr:rowOff>
    </xdr:to>
    <xdr:pic>
      <xdr:nvPicPr>
        <xdr:cNvPr id="14" name="Graphic 13" descr="Database with solid fill">
          <a:hlinkClick xmlns:r="http://schemas.openxmlformats.org/officeDocument/2006/relationships" r:id="rId3"/>
          <a:extLst>
            <a:ext uri="{FF2B5EF4-FFF2-40B4-BE49-F238E27FC236}">
              <a16:creationId xmlns:a16="http://schemas.microsoft.com/office/drawing/2014/main" id="{DF49D856-B6DE-C734-CAD5-473D1208970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0926" y="1281075"/>
          <a:ext cx="390524" cy="390524"/>
        </a:xfrm>
        <a:prstGeom prst="rect">
          <a:avLst/>
        </a:prstGeom>
      </xdr:spPr>
    </xdr:pic>
    <xdr:clientData/>
  </xdr:twoCellAnchor>
  <xdr:twoCellAnchor editAs="oneCell">
    <xdr:from>
      <xdr:col>0</xdr:col>
      <xdr:colOff>47625</xdr:colOff>
      <xdr:row>1</xdr:row>
      <xdr:rowOff>154725</xdr:rowOff>
    </xdr:from>
    <xdr:to>
      <xdr:col>0</xdr:col>
      <xdr:colOff>438149</xdr:colOff>
      <xdr:row>3</xdr:row>
      <xdr:rowOff>164249</xdr:rowOff>
    </xdr:to>
    <xdr:pic>
      <xdr:nvPicPr>
        <xdr:cNvPr id="16" name="Graphic 15" descr="Document with solid fill">
          <a:hlinkClick xmlns:r="http://schemas.openxmlformats.org/officeDocument/2006/relationships" r:id="rId2"/>
          <a:extLst>
            <a:ext uri="{FF2B5EF4-FFF2-40B4-BE49-F238E27FC236}">
              <a16:creationId xmlns:a16="http://schemas.microsoft.com/office/drawing/2014/main" id="{143B2FAF-9DA2-37AD-867D-D29A1D0E67F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7625" y="345225"/>
          <a:ext cx="390524" cy="390524"/>
        </a:xfrm>
        <a:prstGeom prst="rect">
          <a:avLst/>
        </a:prstGeom>
      </xdr:spPr>
    </xdr:pic>
    <xdr:clientData/>
  </xdr:twoCellAnchor>
  <xdr:twoCellAnchor editAs="oneCell">
    <xdr:from>
      <xdr:col>0</xdr:col>
      <xdr:colOff>66601</xdr:colOff>
      <xdr:row>13</xdr:row>
      <xdr:rowOff>152325</xdr:rowOff>
    </xdr:from>
    <xdr:to>
      <xdr:col>0</xdr:col>
      <xdr:colOff>457125</xdr:colOff>
      <xdr:row>15</xdr:row>
      <xdr:rowOff>161849</xdr:rowOff>
    </xdr:to>
    <xdr:pic>
      <xdr:nvPicPr>
        <xdr:cNvPr id="18" name="Graphic 17" descr="Target with solid fill">
          <a:hlinkClick xmlns:r="http://schemas.openxmlformats.org/officeDocument/2006/relationships" r:id="rId5"/>
          <a:extLst>
            <a:ext uri="{FF2B5EF4-FFF2-40B4-BE49-F238E27FC236}">
              <a16:creationId xmlns:a16="http://schemas.microsoft.com/office/drawing/2014/main" id="{34CBF7DB-6233-5B52-BA76-177B27DFA92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6601" y="2628825"/>
          <a:ext cx="390524" cy="390524"/>
        </a:xfrm>
        <a:prstGeom prst="rect">
          <a:avLst/>
        </a:prstGeom>
      </xdr:spPr>
    </xdr:pic>
    <xdr:clientData/>
  </xdr:twoCellAnchor>
  <xdr:twoCellAnchor editAs="oneCell">
    <xdr:from>
      <xdr:col>0</xdr:col>
      <xdr:colOff>45151</xdr:colOff>
      <xdr:row>11</xdr:row>
      <xdr:rowOff>62421</xdr:rowOff>
    </xdr:from>
    <xdr:to>
      <xdr:col>0</xdr:col>
      <xdr:colOff>435675</xdr:colOff>
      <xdr:row>13</xdr:row>
      <xdr:rowOff>71945</xdr:rowOff>
    </xdr:to>
    <xdr:pic>
      <xdr:nvPicPr>
        <xdr:cNvPr id="20" name="Graphic 19" descr="Teacher with solid fill">
          <a:hlinkClick xmlns:r="http://schemas.openxmlformats.org/officeDocument/2006/relationships" r:id="rId4"/>
          <a:extLst>
            <a:ext uri="{FF2B5EF4-FFF2-40B4-BE49-F238E27FC236}">
              <a16:creationId xmlns:a16="http://schemas.microsoft.com/office/drawing/2014/main" id="{6941F77C-2E7C-DE99-9CD0-A13D72D0A99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151" y="2157921"/>
          <a:ext cx="390524" cy="390524"/>
        </a:xfrm>
        <a:prstGeom prst="rect">
          <a:avLst/>
        </a:prstGeom>
      </xdr:spPr>
    </xdr:pic>
    <xdr:clientData/>
  </xdr:twoCellAnchor>
  <xdr:twoCellAnchor>
    <xdr:from>
      <xdr:col>2</xdr:col>
      <xdr:colOff>561975</xdr:colOff>
      <xdr:row>0</xdr:row>
      <xdr:rowOff>19050</xdr:rowOff>
    </xdr:from>
    <xdr:to>
      <xdr:col>18</xdr:col>
      <xdr:colOff>590550</xdr:colOff>
      <xdr:row>24</xdr:row>
      <xdr:rowOff>133350</xdr:rowOff>
    </xdr:to>
    <xdr:sp macro="" textlink="">
      <xdr:nvSpPr>
        <xdr:cNvPr id="21" name="Rectangle 20">
          <a:extLst>
            <a:ext uri="{FF2B5EF4-FFF2-40B4-BE49-F238E27FC236}">
              <a16:creationId xmlns:a16="http://schemas.microsoft.com/office/drawing/2014/main" id="{E9937423-8C2F-18BD-F10A-E1BB595AB203}"/>
            </a:ext>
          </a:extLst>
        </xdr:cNvPr>
        <xdr:cNvSpPr/>
      </xdr:nvSpPr>
      <xdr:spPr>
        <a:xfrm>
          <a:off x="1781175" y="19050"/>
          <a:ext cx="9782175" cy="4686300"/>
        </a:xfrm>
        <a:prstGeom prst="rect">
          <a:avLst/>
        </a:prstGeom>
        <a:noFill/>
        <a:ln>
          <a:noFill/>
        </a:ln>
        <a:effectLst>
          <a:outerShdw blurRad="50800" dist="50800" dir="5400000" algn="ctr" rotWithShape="0">
            <a:srgbClr val="000000">
              <a:alpha val="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sz="1600">
            <a:solidFill>
              <a:schemeClr val="tx2"/>
            </a:solidFill>
          </a:endParaRPr>
        </a:p>
        <a:p>
          <a:endParaRPr lang="en-IN" sz="1600">
            <a:solidFill>
              <a:schemeClr val="tx2"/>
            </a:solidFill>
          </a:endParaRPr>
        </a:p>
        <a:p>
          <a:r>
            <a:rPr lang="en-IN" sz="1250" i="0">
              <a:solidFill>
                <a:schemeClr val="tx1">
                  <a:lumMod val="95000"/>
                  <a:lumOff val="5000"/>
                </a:schemeClr>
              </a:solidFill>
            </a:rPr>
            <a:t>Welcome to the </a:t>
          </a:r>
          <a:r>
            <a:rPr lang="en-IN" sz="1250" b="1" i="0">
              <a:solidFill>
                <a:schemeClr val="tx1">
                  <a:lumMod val="95000"/>
                  <a:lumOff val="5000"/>
                </a:schemeClr>
              </a:solidFill>
            </a:rPr>
            <a:t>Sales Analytics Dashboard</a:t>
          </a:r>
          <a:r>
            <a:rPr lang="en-IN" sz="1250" i="0">
              <a:solidFill>
                <a:schemeClr val="tx1">
                  <a:lumMod val="95000"/>
                  <a:lumOff val="5000"/>
                </a:schemeClr>
              </a:solidFill>
            </a:rPr>
            <a:t>.</a:t>
          </a:r>
        </a:p>
        <a:p>
          <a:r>
            <a:rPr lang="en-IN" sz="1250" i="0">
              <a:solidFill>
                <a:schemeClr val="tx1">
                  <a:lumMod val="95000"/>
                  <a:lumOff val="5000"/>
                </a:schemeClr>
              </a:solidFill>
            </a:rPr>
            <a:t>This report provides a comprehensive analysis of sales performance across different regions, products, and sales representatives. The dashboard is designed to help users quickly understand key business metrics and identify important trends in the data.</a:t>
          </a:r>
        </a:p>
        <a:p>
          <a:r>
            <a:rPr lang="en-IN" sz="1250" i="0">
              <a:solidFill>
                <a:schemeClr val="tx1">
                  <a:lumMod val="95000"/>
                  <a:lumOff val="5000"/>
                </a:schemeClr>
              </a:solidFill>
            </a:rPr>
            <a:t>Using this report, you can explore:</a:t>
          </a:r>
        </a:p>
        <a:p>
          <a:r>
            <a:rPr lang="en-IN" sz="1250" i="0">
              <a:solidFill>
                <a:schemeClr val="tx1">
                  <a:lumMod val="95000"/>
                  <a:lumOff val="5000"/>
                </a:schemeClr>
              </a:solidFill>
            </a:rPr>
            <a:t>• Total Sales and Profit performance</a:t>
          </a:r>
          <a:br>
            <a:rPr lang="en-IN" sz="1250" i="0">
              <a:solidFill>
                <a:schemeClr val="tx1">
                  <a:lumMod val="95000"/>
                  <a:lumOff val="5000"/>
                </a:schemeClr>
              </a:solidFill>
            </a:rPr>
          </a:br>
          <a:r>
            <a:rPr lang="en-IN" sz="1250" i="0">
              <a:solidFill>
                <a:schemeClr val="tx1">
                  <a:lumMod val="95000"/>
                  <a:lumOff val="5000"/>
                </a:schemeClr>
              </a:solidFill>
            </a:rPr>
            <a:t>• Units sold across different products</a:t>
          </a:r>
          <a:br>
            <a:rPr lang="en-IN" sz="1250" i="0">
              <a:solidFill>
                <a:schemeClr val="tx1">
                  <a:lumMod val="95000"/>
                  <a:lumOff val="5000"/>
                </a:schemeClr>
              </a:solidFill>
            </a:rPr>
          </a:br>
          <a:r>
            <a:rPr lang="en-IN" sz="1250" i="0">
              <a:solidFill>
                <a:schemeClr val="tx1">
                  <a:lumMod val="95000"/>
                  <a:lumOff val="5000"/>
                </a:schemeClr>
              </a:solidFill>
            </a:rPr>
            <a:t>• Regional sales distribution</a:t>
          </a:r>
          <a:br>
            <a:rPr lang="en-IN" sz="1250" i="0">
              <a:solidFill>
                <a:schemeClr val="tx1">
                  <a:lumMod val="95000"/>
                  <a:lumOff val="5000"/>
                </a:schemeClr>
              </a:solidFill>
            </a:rPr>
          </a:br>
          <a:r>
            <a:rPr lang="en-IN" sz="1250" i="0">
              <a:solidFill>
                <a:schemeClr val="tx1">
                  <a:lumMod val="95000"/>
                  <a:lumOff val="5000"/>
                </a:schemeClr>
              </a:solidFill>
            </a:rPr>
            <a:t>• Salesperson performance comparison</a:t>
          </a:r>
          <a:br>
            <a:rPr lang="en-IN" sz="1250" i="0">
              <a:solidFill>
                <a:schemeClr val="tx1">
                  <a:lumMod val="95000"/>
                  <a:lumOff val="5000"/>
                </a:schemeClr>
              </a:solidFill>
            </a:rPr>
          </a:br>
          <a:r>
            <a:rPr lang="en-IN" sz="1250" i="0">
              <a:solidFill>
                <a:schemeClr val="tx1">
                  <a:lumMod val="95000"/>
                  <a:lumOff val="5000"/>
                </a:schemeClr>
              </a:solidFill>
            </a:rPr>
            <a:t>• Monthly sales trends and business growth</a:t>
          </a:r>
        </a:p>
        <a:p>
          <a:r>
            <a:rPr lang="en-IN" sz="1250" i="0">
              <a:solidFill>
                <a:schemeClr val="tx1">
                  <a:lumMod val="95000"/>
                  <a:lumOff val="5000"/>
                </a:schemeClr>
              </a:solidFill>
            </a:rPr>
            <a:t>The purpose of this dashboard is to transform raw sales data into </a:t>
          </a:r>
          <a:r>
            <a:rPr lang="en-IN" sz="1250" b="1" i="0">
              <a:solidFill>
                <a:schemeClr val="tx1">
                  <a:lumMod val="95000"/>
                  <a:lumOff val="5000"/>
                </a:schemeClr>
              </a:solidFill>
            </a:rPr>
            <a:t>meaningful insights</a:t>
          </a:r>
          <a:r>
            <a:rPr lang="en-IN" sz="1250" i="0">
              <a:solidFill>
                <a:schemeClr val="tx1">
                  <a:lumMod val="95000"/>
                  <a:lumOff val="5000"/>
                </a:schemeClr>
              </a:solidFill>
            </a:rPr>
            <a:t> that support better business decisions.</a:t>
          </a:r>
        </a:p>
        <a:p>
          <a:r>
            <a:rPr lang="en-IN" sz="1250" i="0">
              <a:solidFill>
                <a:schemeClr val="tx1">
                  <a:lumMod val="95000"/>
                  <a:lumOff val="5000"/>
                </a:schemeClr>
              </a:solidFill>
            </a:rPr>
            <a:t>Use the navigation panel on the left side to explore the following sections:</a:t>
          </a:r>
        </a:p>
        <a:p>
          <a:r>
            <a:rPr lang="en-IN" sz="1250" b="1" i="0">
              <a:solidFill>
                <a:schemeClr val="tx1">
                  <a:lumMod val="95000"/>
                  <a:lumOff val="5000"/>
                </a:schemeClr>
              </a:solidFill>
            </a:rPr>
            <a:t>KPI</a:t>
          </a:r>
          <a:r>
            <a:rPr lang="en-IN" sz="1250" i="0">
              <a:solidFill>
                <a:schemeClr val="tx1">
                  <a:lumMod val="95000"/>
                  <a:lumOff val="5000"/>
                </a:schemeClr>
              </a:solidFill>
            </a:rPr>
            <a:t> – Overview of key performance indicators</a:t>
          </a:r>
          <a:br>
            <a:rPr lang="en-IN" sz="1250" i="0">
              <a:solidFill>
                <a:schemeClr val="tx1">
                  <a:lumMod val="95000"/>
                  <a:lumOff val="5000"/>
                </a:schemeClr>
              </a:solidFill>
            </a:rPr>
          </a:br>
          <a:r>
            <a:rPr lang="en-IN" sz="1250" b="1" i="0">
              <a:solidFill>
                <a:schemeClr val="tx1">
                  <a:lumMod val="95000"/>
                  <a:lumOff val="5000"/>
                </a:schemeClr>
              </a:solidFill>
            </a:rPr>
            <a:t>Dashboard</a:t>
          </a:r>
          <a:r>
            <a:rPr lang="en-IN" sz="1250" i="0">
              <a:solidFill>
                <a:schemeClr val="tx1">
                  <a:lumMod val="95000"/>
                  <a:lumOff val="5000"/>
                </a:schemeClr>
              </a:solidFill>
            </a:rPr>
            <a:t> – Visual analysis of sales data</a:t>
          </a:r>
          <a:br>
            <a:rPr lang="en-IN" sz="1250" i="0">
              <a:solidFill>
                <a:schemeClr val="tx1">
                  <a:lumMod val="95000"/>
                  <a:lumOff val="5000"/>
                </a:schemeClr>
              </a:solidFill>
            </a:rPr>
          </a:br>
          <a:r>
            <a:rPr lang="en-IN" sz="1250" b="1" i="0">
              <a:solidFill>
                <a:schemeClr val="tx1">
                  <a:lumMod val="95000"/>
                  <a:lumOff val="5000"/>
                </a:schemeClr>
              </a:solidFill>
            </a:rPr>
            <a:t>Raw Data</a:t>
          </a:r>
          <a:r>
            <a:rPr lang="en-IN" sz="1250" i="0">
              <a:solidFill>
                <a:schemeClr val="tx1">
                  <a:lumMod val="95000"/>
                  <a:lumOff val="5000"/>
                </a:schemeClr>
              </a:solidFill>
            </a:rPr>
            <a:t> – Complete dataset used in this report</a:t>
          </a:r>
        </a:p>
        <a:p>
          <a:r>
            <a:rPr lang="en-IN" sz="1250" i="0">
              <a:solidFill>
                <a:schemeClr val="tx1">
                  <a:lumMod val="95000"/>
                  <a:lumOff val="5000"/>
                </a:schemeClr>
              </a:solidFill>
            </a:rPr>
            <a:t>This dashboard demonstrates how </a:t>
          </a:r>
          <a:r>
            <a:rPr lang="en-IN" sz="1250" b="1" i="0">
              <a:solidFill>
                <a:schemeClr val="tx1">
                  <a:lumMod val="95000"/>
                  <a:lumOff val="5000"/>
                </a:schemeClr>
              </a:solidFill>
            </a:rPr>
            <a:t>data analytics and visualization</a:t>
          </a:r>
          <a:r>
            <a:rPr lang="en-IN" sz="1250" i="0">
              <a:solidFill>
                <a:schemeClr val="tx1">
                  <a:lumMod val="95000"/>
                  <a:lumOff val="5000"/>
                </a:schemeClr>
              </a:solidFill>
            </a:rPr>
            <a:t> can help organizations monitor performance and identify opportunities for improvement.</a:t>
          </a:r>
        </a:p>
        <a:p>
          <a:pPr algn="l"/>
          <a:endParaRPr lang="en-IN" sz="1100"/>
        </a:p>
      </xdr:txBody>
    </xdr:sp>
    <xdr:clientData/>
  </xdr:twoCellAnchor>
  <xdr:twoCellAnchor editAs="oneCell">
    <xdr:from>
      <xdr:col>2</xdr:col>
      <xdr:colOff>38100</xdr:colOff>
      <xdr:row>20</xdr:row>
      <xdr:rowOff>57150</xdr:rowOff>
    </xdr:from>
    <xdr:to>
      <xdr:col>2</xdr:col>
      <xdr:colOff>447675</xdr:colOff>
      <xdr:row>22</xdr:row>
      <xdr:rowOff>66674</xdr:rowOff>
    </xdr:to>
    <xdr:pic>
      <xdr:nvPicPr>
        <xdr:cNvPr id="27" name="Graphic 26" descr="Chevron arrows with solid fill">
          <a:hlinkClick xmlns:r="http://schemas.openxmlformats.org/officeDocument/2006/relationships" r:id="rId3"/>
          <a:extLst>
            <a:ext uri="{FF2B5EF4-FFF2-40B4-BE49-F238E27FC236}">
              <a16:creationId xmlns:a16="http://schemas.microsoft.com/office/drawing/2014/main" id="{57EFA031-FB90-91AD-9363-E00088317B9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57300" y="3867150"/>
          <a:ext cx="409575" cy="390524"/>
        </a:xfrm>
        <a:prstGeom prst="rect">
          <a:avLst/>
        </a:prstGeom>
        <a:effectLst>
          <a:outerShdw blurRad="50800" dist="50800" dir="5400000" algn="ctr" rotWithShape="0">
            <a:srgbClr val="FFFFFF"/>
          </a:outerShdw>
        </a:effectLst>
      </xdr:spPr>
    </xdr:pic>
    <xdr:clientData/>
  </xdr:twoCellAnchor>
  <xdr:twoCellAnchor>
    <xdr:from>
      <xdr:col>3</xdr:col>
      <xdr:colOff>47625</xdr:colOff>
      <xdr:row>0</xdr:row>
      <xdr:rowOff>38100</xdr:rowOff>
    </xdr:from>
    <xdr:to>
      <xdr:col>8</xdr:col>
      <xdr:colOff>85725</xdr:colOff>
      <xdr:row>2</xdr:row>
      <xdr:rowOff>152400</xdr:rowOff>
    </xdr:to>
    <xdr:sp macro="" textlink="">
      <xdr:nvSpPr>
        <xdr:cNvPr id="28" name="Rectangle 27">
          <a:extLst>
            <a:ext uri="{FF2B5EF4-FFF2-40B4-BE49-F238E27FC236}">
              <a16:creationId xmlns:a16="http://schemas.microsoft.com/office/drawing/2014/main" id="{5ECED0E7-89DA-A6B1-8975-F646A1440227}"/>
            </a:ext>
          </a:extLst>
        </xdr:cNvPr>
        <xdr:cNvSpPr/>
      </xdr:nvSpPr>
      <xdr:spPr>
        <a:xfrm>
          <a:off x="1876425" y="38100"/>
          <a:ext cx="3086100" cy="4953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Sales Analytics Dashboard</a:t>
          </a:r>
          <a:endParaRPr lang="en-IN" sz="2000">
            <a:effectLst/>
          </a:endParaRPr>
        </a:p>
        <a:p>
          <a:pPr algn="l"/>
          <a:endParaRPr lang="en-IN" sz="2000"/>
        </a:p>
      </xdr:txBody>
    </xdr:sp>
    <xdr:clientData/>
  </xdr:twoCellAnchor>
  <xdr:twoCellAnchor editAs="oneCell">
    <xdr:from>
      <xdr:col>0</xdr:col>
      <xdr:colOff>28575</xdr:colOff>
      <xdr:row>16</xdr:row>
      <xdr:rowOff>38100</xdr:rowOff>
    </xdr:from>
    <xdr:to>
      <xdr:col>0</xdr:col>
      <xdr:colOff>514350</xdr:colOff>
      <xdr:row>18</xdr:row>
      <xdr:rowOff>142875</xdr:rowOff>
    </xdr:to>
    <xdr:pic>
      <xdr:nvPicPr>
        <xdr:cNvPr id="13" name="Graphic 12" descr="Handshake with solid fill">
          <a:hlinkClick xmlns:r="http://schemas.openxmlformats.org/officeDocument/2006/relationships" r:id="rId20"/>
          <a:extLst>
            <a:ext uri="{FF2B5EF4-FFF2-40B4-BE49-F238E27FC236}">
              <a16:creationId xmlns:a16="http://schemas.microsoft.com/office/drawing/2014/main" id="{3B034879-7D52-4174-9D5C-01880968BCA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8575" y="3086100"/>
          <a:ext cx="485775" cy="485775"/>
        </a:xfrm>
        <a:prstGeom prst="rect">
          <a:avLst/>
        </a:prstGeom>
      </xdr:spPr>
    </xdr:pic>
    <xdr:clientData/>
  </xdr:twoCellAnchor>
  <xdr:twoCellAnchor>
    <xdr:from>
      <xdr:col>0</xdr:col>
      <xdr:colOff>457200</xdr:colOff>
      <xdr:row>16</xdr:row>
      <xdr:rowOff>28575</xdr:rowOff>
    </xdr:from>
    <xdr:to>
      <xdr:col>2</xdr:col>
      <xdr:colOff>485775</xdr:colOff>
      <xdr:row>17</xdr:row>
      <xdr:rowOff>161925</xdr:rowOff>
    </xdr:to>
    <xdr:sp macro="" textlink="">
      <xdr:nvSpPr>
        <xdr:cNvPr id="15" name="Rectangle 14">
          <a:hlinkClick xmlns:r="http://schemas.openxmlformats.org/officeDocument/2006/relationships" r:id="rId20"/>
          <a:extLst>
            <a:ext uri="{FF2B5EF4-FFF2-40B4-BE49-F238E27FC236}">
              <a16:creationId xmlns:a16="http://schemas.microsoft.com/office/drawing/2014/main" id="{2A0D252C-9673-42D2-A5EB-A17AF51D3D2F}"/>
            </a:ext>
          </a:extLst>
        </xdr:cNvPr>
        <xdr:cNvSpPr/>
      </xdr:nvSpPr>
      <xdr:spPr>
        <a:xfrm>
          <a:off x="457200" y="3076575"/>
          <a:ext cx="1247775"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76200">
                  <a:schemeClr val="tx1">
                    <a:lumMod val="50000"/>
                    <a:lumOff val="50000"/>
                    <a:alpha val="40000"/>
                  </a:schemeClr>
                </a:glow>
                <a:outerShdw blurRad="50800" dist="38100" dir="5400000" algn="t" rotWithShape="0">
                  <a:schemeClr val="bg1">
                    <a:lumMod val="50000"/>
                    <a:alpha val="0"/>
                  </a:schemeClr>
                </a:outerShdw>
              </a:effectLst>
            </a:rPr>
            <a:t>Suggestions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19046</xdr:rowOff>
    </xdr:from>
    <xdr:to>
      <xdr:col>2</xdr:col>
      <xdr:colOff>581025</xdr:colOff>
      <xdr:row>1888</xdr:row>
      <xdr:rowOff>2621</xdr:rowOff>
    </xdr:to>
    <xdr:sp macro="" textlink="">
      <xdr:nvSpPr>
        <xdr:cNvPr id="3" name="Rectangle 2">
          <a:extLst>
            <a:ext uri="{FF2B5EF4-FFF2-40B4-BE49-F238E27FC236}">
              <a16:creationId xmlns:a16="http://schemas.microsoft.com/office/drawing/2014/main" id="{4664A353-8295-2476-66CB-0AA19EC648EE}"/>
            </a:ext>
          </a:extLst>
        </xdr:cNvPr>
        <xdr:cNvSpPr/>
      </xdr:nvSpPr>
      <xdr:spPr>
        <a:xfrm>
          <a:off x="9525" y="19046"/>
          <a:ext cx="1790700" cy="36000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414374</xdr:colOff>
      <xdr:row>1</xdr:row>
      <xdr:rowOff>0</xdr:rowOff>
    </xdr:from>
    <xdr:to>
      <xdr:col>2</xdr:col>
      <xdr:colOff>455174</xdr:colOff>
      <xdr:row>3</xdr:row>
      <xdr:rowOff>9525</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A51166B4-CDFB-4422-9369-393A0AB7F42F}"/>
            </a:ext>
          </a:extLst>
        </xdr:cNvPr>
        <xdr:cNvSpPr/>
      </xdr:nvSpPr>
      <xdr:spPr>
        <a:xfrm>
          <a:off x="414374" y="533400"/>
          <a:ext cx="1260000" cy="3905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50800" h="38100" prst="riblet"/>
            <a:bevelB w="38100" h="38100" prst="relaxedInset"/>
          </a:sp3d>
        </a:bodyPr>
        <a:lstStyle/>
        <a:p>
          <a:pPr algn="l"/>
          <a:r>
            <a:rPr lang="en-IN" sz="16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63500" dist="25400" dir="5400000" sy="-20000" rotWithShape="0">
                  <a:prstClr val="black">
                    <a:alpha val="25000"/>
                  </a:prstClr>
                </a:outerShdw>
                <a:reflection blurRad="6350" stA="50000" endA="300" endPos="50000" dist="60007" dir="5400000" sy="-100000" algn="bl" rotWithShape="0"/>
              </a:effectLst>
            </a:rPr>
            <a:t>Raw data</a:t>
          </a:r>
        </a:p>
      </xdr:txBody>
    </xdr:sp>
    <xdr:clientData/>
  </xdr:twoCellAnchor>
  <xdr:twoCellAnchor editAs="oneCell">
    <xdr:from>
      <xdr:col>0</xdr:col>
      <xdr:colOff>66675</xdr:colOff>
      <xdr:row>1</xdr:row>
      <xdr:rowOff>14250</xdr:rowOff>
    </xdr:from>
    <xdr:to>
      <xdr:col>0</xdr:col>
      <xdr:colOff>457199</xdr:colOff>
      <xdr:row>3</xdr:row>
      <xdr:rowOff>23774</xdr:rowOff>
    </xdr:to>
    <xdr:pic>
      <xdr:nvPicPr>
        <xdr:cNvPr id="5" name="Graphic 4" descr="Database with solid fill">
          <a:hlinkClick xmlns:r="http://schemas.openxmlformats.org/officeDocument/2006/relationships" r:id="rId1"/>
          <a:extLst>
            <a:ext uri="{FF2B5EF4-FFF2-40B4-BE49-F238E27FC236}">
              <a16:creationId xmlns:a16="http://schemas.microsoft.com/office/drawing/2014/main" id="{5B86AD84-5FDB-433A-831C-C97E770D20D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675" y="547650"/>
          <a:ext cx="390524" cy="390524"/>
        </a:xfrm>
        <a:prstGeom prst="rect">
          <a:avLst/>
        </a:prstGeom>
      </xdr:spPr>
    </xdr:pic>
    <xdr:clientData/>
  </xdr:twoCellAnchor>
  <xdr:twoCellAnchor editAs="oneCell">
    <xdr:from>
      <xdr:col>0</xdr:col>
      <xdr:colOff>367060</xdr:colOff>
      <xdr:row>0</xdr:row>
      <xdr:rowOff>9525</xdr:rowOff>
    </xdr:from>
    <xdr:to>
      <xdr:col>1</xdr:col>
      <xdr:colOff>117460</xdr:colOff>
      <xdr:row>0</xdr:row>
      <xdr:rowOff>352425</xdr:rowOff>
    </xdr:to>
    <xdr:pic>
      <xdr:nvPicPr>
        <xdr:cNvPr id="8" name="Graphic 7" descr="Chevron arrows with solid fill">
          <a:hlinkClick xmlns:r="http://schemas.openxmlformats.org/officeDocument/2006/relationships" r:id="rId4"/>
          <a:extLst>
            <a:ext uri="{FF2B5EF4-FFF2-40B4-BE49-F238E27FC236}">
              <a16:creationId xmlns:a16="http://schemas.microsoft.com/office/drawing/2014/main" id="{1BB47A77-7BCD-4A21-8E64-8D3AE57BC4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7060" y="9525"/>
          <a:ext cx="360000" cy="342900"/>
        </a:xfrm>
        <a:prstGeom prst="rect">
          <a:avLst/>
        </a:prstGeom>
        <a:effectLst>
          <a:outerShdw blurRad="50800" dist="50800" dir="5400000" algn="ctr" rotWithShape="0">
            <a:srgbClr val="FFFFFF"/>
          </a:outerShdw>
        </a:effectLst>
      </xdr:spPr>
    </xdr:pic>
    <xdr:clientData/>
  </xdr:twoCellAnchor>
  <xdr:twoCellAnchor editAs="oneCell">
    <xdr:from>
      <xdr:col>0</xdr:col>
      <xdr:colOff>9526</xdr:colOff>
      <xdr:row>0</xdr:row>
      <xdr:rowOff>9526</xdr:rowOff>
    </xdr:from>
    <xdr:to>
      <xdr:col>0</xdr:col>
      <xdr:colOff>369526</xdr:colOff>
      <xdr:row>0</xdr:row>
      <xdr:rowOff>381000</xdr:rowOff>
    </xdr:to>
    <xdr:pic>
      <xdr:nvPicPr>
        <xdr:cNvPr id="10" name="Graphic 9" descr="Chevron arrows with solid fill">
          <a:hlinkClick xmlns:r="http://schemas.openxmlformats.org/officeDocument/2006/relationships" r:id="rId7"/>
          <a:extLst>
            <a:ext uri="{FF2B5EF4-FFF2-40B4-BE49-F238E27FC236}">
              <a16:creationId xmlns:a16="http://schemas.microsoft.com/office/drawing/2014/main" id="{101FFFF7-AC64-D08A-399A-EB15ACF2D55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26" y="9526"/>
          <a:ext cx="360000" cy="371474"/>
        </a:xfrm>
        <a:prstGeom prst="rect">
          <a:avLst/>
        </a:prstGeom>
        <a:effectLst>
          <a:outerShdw blurRad="50800" dist="38100" dir="5400000" algn="t" rotWithShape="0">
            <a:srgbClr val="FFFFFF">
              <a:alpha val="40000"/>
            </a:srgbClr>
          </a:outerShdw>
        </a:effectLst>
      </xdr:spPr>
    </xdr:pic>
    <xdr:clientData/>
  </xdr:twoCellAnchor>
  <xdr:twoCellAnchor editAs="oneCell">
    <xdr:from>
      <xdr:col>2</xdr:col>
      <xdr:colOff>152400</xdr:colOff>
      <xdr:row>0</xdr:row>
      <xdr:rowOff>0</xdr:rowOff>
    </xdr:from>
    <xdr:to>
      <xdr:col>2</xdr:col>
      <xdr:colOff>552450</xdr:colOff>
      <xdr:row>0</xdr:row>
      <xdr:rowOff>400050</xdr:rowOff>
    </xdr:to>
    <xdr:pic>
      <xdr:nvPicPr>
        <xdr:cNvPr id="2" name="Graphic 1" descr="Home with solid fill">
          <a:hlinkClick xmlns:r="http://schemas.openxmlformats.org/officeDocument/2006/relationships" r:id="rId7"/>
          <a:extLst>
            <a:ext uri="{FF2B5EF4-FFF2-40B4-BE49-F238E27FC236}">
              <a16:creationId xmlns:a16="http://schemas.microsoft.com/office/drawing/2014/main" id="{4C030539-BE49-49E3-930B-CEE9A1720815}"/>
            </a:ext>
          </a:extLst>
        </xdr:cNvPr>
        <xdr:cNvPicPr>
          <a:picLocks noChangeAspect="1"/>
        </xdr:cNvPicPr>
      </xdr:nvPicPr>
      <xdr:blipFill>
        <a:blip xmlns:r="http://schemas.openxmlformats.org/officeDocument/2006/relationships" r:embed="rId10">
          <a:alphaModFix amt="60000"/>
          <a:duotone>
            <a:schemeClr val="bg2">
              <a:shade val="45000"/>
              <a:satMod val="135000"/>
            </a:schemeClr>
            <a:prstClr val="white"/>
          </a:duotone>
          <a:extLst>
            <a:ext uri="{96DAC541-7B7A-43D3-8B79-37D633B846F1}">
              <asvg:svgBlip xmlns:asvg="http://schemas.microsoft.com/office/drawing/2016/SVG/main" r:embed="rId11"/>
            </a:ext>
          </a:extLst>
        </a:blip>
        <a:stretch>
          <a:fillRect/>
        </a:stretch>
      </xdr:blipFill>
      <xdr:spPr>
        <a:xfrm>
          <a:off x="1371600" y="0"/>
          <a:ext cx="40005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0</xdr:row>
      <xdr:rowOff>47626</xdr:rowOff>
    </xdr:from>
    <xdr:to>
      <xdr:col>5</xdr:col>
      <xdr:colOff>58730</xdr:colOff>
      <xdr:row>5</xdr:row>
      <xdr:rowOff>123826</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B272455E-5217-B933-26F0-5D5906ECB62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21656" y="47626"/>
              <a:ext cx="1832762"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534081</xdr:colOff>
      <xdr:row>7</xdr:row>
      <xdr:rowOff>38100</xdr:rowOff>
    </xdr:from>
    <xdr:to>
      <xdr:col>7</xdr:col>
      <xdr:colOff>219756</xdr:colOff>
      <xdr:row>9</xdr:row>
      <xdr:rowOff>47625</xdr:rowOff>
    </xdr:to>
    <xdr:sp macro="" textlink="">
      <xdr:nvSpPr>
        <xdr:cNvPr id="3" name="Rectangle 2">
          <a:extLst>
            <a:ext uri="{FF2B5EF4-FFF2-40B4-BE49-F238E27FC236}">
              <a16:creationId xmlns:a16="http://schemas.microsoft.com/office/drawing/2014/main" id="{1809D201-FEAA-28D5-86E7-C662BA921C25}"/>
            </a:ext>
          </a:extLst>
        </xdr:cNvPr>
        <xdr:cNvSpPr/>
      </xdr:nvSpPr>
      <xdr:spPr>
        <a:xfrm>
          <a:off x="3301344" y="1371600"/>
          <a:ext cx="1761123"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Total Sale</a:t>
          </a:r>
        </a:p>
      </xdr:txBody>
    </xdr:sp>
    <xdr:clientData/>
  </xdr:twoCellAnchor>
  <xdr:twoCellAnchor>
    <xdr:from>
      <xdr:col>4</xdr:col>
      <xdr:colOff>534081</xdr:colOff>
      <xdr:row>10</xdr:row>
      <xdr:rowOff>3810</xdr:rowOff>
    </xdr:from>
    <xdr:to>
      <xdr:col>7</xdr:col>
      <xdr:colOff>219756</xdr:colOff>
      <xdr:row>12</xdr:row>
      <xdr:rowOff>13335</xdr:rowOff>
    </xdr:to>
    <xdr:sp macro="" textlink="$D$12">
      <xdr:nvSpPr>
        <xdr:cNvPr id="4" name="Rectangle 3">
          <a:extLst>
            <a:ext uri="{FF2B5EF4-FFF2-40B4-BE49-F238E27FC236}">
              <a16:creationId xmlns:a16="http://schemas.microsoft.com/office/drawing/2014/main" id="{077E969C-268A-C2C0-FF48-246BA924DA61}"/>
            </a:ext>
          </a:extLst>
        </xdr:cNvPr>
        <xdr:cNvSpPr/>
      </xdr:nvSpPr>
      <xdr:spPr>
        <a:xfrm>
          <a:off x="3301344" y="1908810"/>
          <a:ext cx="1761123"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6594376-317A-4A56-B87E-6C75F5E98523}" type="TxLink">
            <a:rPr lang="en-US" sz="1800" b="1" i="0" u="none" strike="noStrike">
              <a:solidFill>
                <a:schemeClr val="tx1"/>
              </a:solidFill>
              <a:latin typeface="Aptos Narrow"/>
            </a:rPr>
            <a:pPr algn="l"/>
            <a:t>₹ 11,63,24,000</a:t>
          </a:fld>
          <a:endParaRPr lang="en-IN" sz="1800" b="1">
            <a:solidFill>
              <a:schemeClr val="tx1"/>
            </a:solidFill>
          </a:endParaRPr>
        </a:p>
      </xdr:txBody>
    </xdr:sp>
    <xdr:clientData/>
  </xdr:twoCellAnchor>
  <xdr:twoCellAnchor>
    <xdr:from>
      <xdr:col>4</xdr:col>
      <xdr:colOff>534081</xdr:colOff>
      <xdr:row>12</xdr:row>
      <xdr:rowOff>160020</xdr:rowOff>
    </xdr:from>
    <xdr:to>
      <xdr:col>7</xdr:col>
      <xdr:colOff>219756</xdr:colOff>
      <xdr:row>14</xdr:row>
      <xdr:rowOff>169545</xdr:rowOff>
    </xdr:to>
    <xdr:sp macro="" textlink="">
      <xdr:nvSpPr>
        <xdr:cNvPr id="5" name="Rectangle 4">
          <a:extLst>
            <a:ext uri="{FF2B5EF4-FFF2-40B4-BE49-F238E27FC236}">
              <a16:creationId xmlns:a16="http://schemas.microsoft.com/office/drawing/2014/main" id="{209704F4-92E5-A836-3A26-2FD933103F13}"/>
            </a:ext>
          </a:extLst>
        </xdr:cNvPr>
        <xdr:cNvSpPr/>
      </xdr:nvSpPr>
      <xdr:spPr>
        <a:xfrm>
          <a:off x="3301344" y="2446020"/>
          <a:ext cx="1761123"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Total Profit</a:t>
          </a:r>
        </a:p>
      </xdr:txBody>
    </xdr:sp>
    <xdr:clientData/>
  </xdr:twoCellAnchor>
  <xdr:twoCellAnchor>
    <xdr:from>
      <xdr:col>4</xdr:col>
      <xdr:colOff>534081</xdr:colOff>
      <xdr:row>15</xdr:row>
      <xdr:rowOff>125730</xdr:rowOff>
    </xdr:from>
    <xdr:to>
      <xdr:col>7</xdr:col>
      <xdr:colOff>219756</xdr:colOff>
      <xdr:row>17</xdr:row>
      <xdr:rowOff>135255</xdr:rowOff>
    </xdr:to>
    <xdr:sp macro="" textlink="$D$17">
      <xdr:nvSpPr>
        <xdr:cNvPr id="6" name="Rectangle 5">
          <a:extLst>
            <a:ext uri="{FF2B5EF4-FFF2-40B4-BE49-F238E27FC236}">
              <a16:creationId xmlns:a16="http://schemas.microsoft.com/office/drawing/2014/main" id="{31803737-3D38-3C6D-56A3-0DC4C1902FC5}"/>
            </a:ext>
          </a:extLst>
        </xdr:cNvPr>
        <xdr:cNvSpPr/>
      </xdr:nvSpPr>
      <xdr:spPr>
        <a:xfrm>
          <a:off x="3301344" y="2983230"/>
          <a:ext cx="1761123"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639AB1-DC46-4A65-9053-8CE6C5D1F39E}" type="TxLink">
            <a:rPr lang="en-US" sz="1600" b="1" i="0" u="none" strike="noStrike">
              <a:solidFill>
                <a:schemeClr val="tx1"/>
              </a:solidFill>
              <a:latin typeface="Aptos Narrow"/>
            </a:rPr>
            <a:pPr algn="l"/>
            <a:t>₹ 2,87,68,838</a:t>
          </a:fld>
          <a:endParaRPr lang="en-IN" sz="1600" b="1">
            <a:solidFill>
              <a:schemeClr val="tx1"/>
            </a:solidFill>
          </a:endParaRPr>
        </a:p>
      </xdr:txBody>
    </xdr:sp>
    <xdr:clientData/>
  </xdr:twoCellAnchor>
  <xdr:twoCellAnchor>
    <xdr:from>
      <xdr:col>4</xdr:col>
      <xdr:colOff>534081</xdr:colOff>
      <xdr:row>18</xdr:row>
      <xdr:rowOff>91440</xdr:rowOff>
    </xdr:from>
    <xdr:to>
      <xdr:col>7</xdr:col>
      <xdr:colOff>219756</xdr:colOff>
      <xdr:row>20</xdr:row>
      <xdr:rowOff>100965</xdr:rowOff>
    </xdr:to>
    <xdr:sp macro="" textlink="">
      <xdr:nvSpPr>
        <xdr:cNvPr id="7" name="Rectangle 6">
          <a:extLst>
            <a:ext uri="{FF2B5EF4-FFF2-40B4-BE49-F238E27FC236}">
              <a16:creationId xmlns:a16="http://schemas.microsoft.com/office/drawing/2014/main" id="{31540559-B047-5809-13E5-477D157F71BF}"/>
            </a:ext>
          </a:extLst>
        </xdr:cNvPr>
        <xdr:cNvSpPr/>
      </xdr:nvSpPr>
      <xdr:spPr>
        <a:xfrm>
          <a:off x="3301344" y="3520440"/>
          <a:ext cx="1761123"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Units Solds</a:t>
          </a:r>
        </a:p>
      </xdr:txBody>
    </xdr:sp>
    <xdr:clientData/>
  </xdr:twoCellAnchor>
  <xdr:twoCellAnchor>
    <xdr:from>
      <xdr:col>4</xdr:col>
      <xdr:colOff>534081</xdr:colOff>
      <xdr:row>21</xdr:row>
      <xdr:rowOff>57150</xdr:rowOff>
    </xdr:from>
    <xdr:to>
      <xdr:col>7</xdr:col>
      <xdr:colOff>219756</xdr:colOff>
      <xdr:row>23</xdr:row>
      <xdr:rowOff>66675</xdr:rowOff>
    </xdr:to>
    <xdr:sp macro="" textlink="$D$23">
      <xdr:nvSpPr>
        <xdr:cNvPr id="8" name="Rectangle 7">
          <a:extLst>
            <a:ext uri="{FF2B5EF4-FFF2-40B4-BE49-F238E27FC236}">
              <a16:creationId xmlns:a16="http://schemas.microsoft.com/office/drawing/2014/main" id="{7D44A64D-D3FB-7108-C7DB-E963ED6D9EEE}"/>
            </a:ext>
          </a:extLst>
        </xdr:cNvPr>
        <xdr:cNvSpPr/>
      </xdr:nvSpPr>
      <xdr:spPr>
        <a:xfrm>
          <a:off x="3301344" y="4057650"/>
          <a:ext cx="1761123"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C1F58D-3EA8-4072-81A8-8CD77ED6D209}" type="TxLink">
            <a:rPr lang="en-US" sz="1600" b="1" i="0" u="none" strike="noStrike">
              <a:solidFill>
                <a:srgbClr val="000000"/>
              </a:solidFill>
              <a:latin typeface="Aptos Narrow"/>
            </a:rPr>
            <a:pPr algn="l"/>
            <a:t>5594</a:t>
          </a:fld>
          <a:endParaRPr lang="en-IN" sz="1600" b="1"/>
        </a:p>
      </xdr:txBody>
    </xdr:sp>
    <xdr:clientData/>
  </xdr:twoCellAnchor>
  <xdr:twoCellAnchor>
    <xdr:from>
      <xdr:col>4</xdr:col>
      <xdr:colOff>495689</xdr:colOff>
      <xdr:row>24</xdr:row>
      <xdr:rowOff>0</xdr:rowOff>
    </xdr:from>
    <xdr:to>
      <xdr:col>7</xdr:col>
      <xdr:colOff>181364</xdr:colOff>
      <xdr:row>25</xdr:row>
      <xdr:rowOff>144430</xdr:rowOff>
    </xdr:to>
    <xdr:sp macro="" textlink="$D$25">
      <xdr:nvSpPr>
        <xdr:cNvPr id="9" name="Rectangle 8">
          <a:extLst>
            <a:ext uri="{FF2B5EF4-FFF2-40B4-BE49-F238E27FC236}">
              <a16:creationId xmlns:a16="http://schemas.microsoft.com/office/drawing/2014/main" id="{1FBBB384-C9C0-E9FA-0C46-C33FE98CDC7B}"/>
            </a:ext>
          </a:extLst>
        </xdr:cNvPr>
        <xdr:cNvSpPr/>
      </xdr:nvSpPr>
      <xdr:spPr>
        <a:xfrm>
          <a:off x="3257939" y="4897405"/>
          <a:ext cx="1752600"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0D9417E-1344-4BE2-A624-052A4562C927}" type="TxLink">
            <a:rPr lang="en-US" sz="1600" b="1" i="0" u="none" strike="noStrike">
              <a:solidFill>
                <a:schemeClr val="bg2"/>
              </a:solidFill>
              <a:latin typeface="Aptos Narrow"/>
            </a:rPr>
            <a:pPr algn="l"/>
            <a:t>Average </a:t>
          </a:fld>
          <a:endParaRPr lang="en-IN" sz="1600" b="1">
            <a:solidFill>
              <a:schemeClr val="bg2"/>
            </a:solidFill>
          </a:endParaRPr>
        </a:p>
      </xdr:txBody>
    </xdr:sp>
    <xdr:clientData/>
  </xdr:twoCellAnchor>
  <xdr:twoCellAnchor>
    <xdr:from>
      <xdr:col>4</xdr:col>
      <xdr:colOff>495689</xdr:colOff>
      <xdr:row>26</xdr:row>
      <xdr:rowOff>66442</xdr:rowOff>
    </xdr:from>
    <xdr:to>
      <xdr:col>7</xdr:col>
      <xdr:colOff>181364</xdr:colOff>
      <xdr:row>28</xdr:row>
      <xdr:rowOff>75966</xdr:rowOff>
    </xdr:to>
    <xdr:sp macro="" textlink="$D$28">
      <xdr:nvSpPr>
        <xdr:cNvPr id="10" name="Rectangle 9">
          <a:extLst>
            <a:ext uri="{FF2B5EF4-FFF2-40B4-BE49-F238E27FC236}">
              <a16:creationId xmlns:a16="http://schemas.microsoft.com/office/drawing/2014/main" id="{934D4159-709E-2A1B-760B-A5E49665C30C}"/>
            </a:ext>
          </a:extLst>
        </xdr:cNvPr>
        <xdr:cNvSpPr/>
      </xdr:nvSpPr>
      <xdr:spPr>
        <a:xfrm>
          <a:off x="3246033" y="5019442"/>
          <a:ext cx="1745456" cy="3905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5D8178A-C2FC-49F3-9A31-F0AE60F747DF}" type="TxLink">
            <a:rPr lang="en-US" sz="1600" b="1" i="0" u="none" strike="noStrike">
              <a:solidFill>
                <a:srgbClr val="000000"/>
              </a:solidFill>
              <a:latin typeface="Aptos Narrow"/>
            </a:rPr>
            <a:pPr algn="l"/>
            <a:t>₹ 1,16,324</a:t>
          </a:fld>
          <a:endParaRPr lang="en-IN" sz="1600" b="1"/>
        </a:p>
      </xdr:txBody>
    </xdr:sp>
    <xdr:clientData/>
  </xdr:twoCellAnchor>
  <xdr:twoCellAnchor>
    <xdr:from>
      <xdr:col>4</xdr:col>
      <xdr:colOff>495689</xdr:colOff>
      <xdr:row>28</xdr:row>
      <xdr:rowOff>188478</xdr:rowOff>
    </xdr:from>
    <xdr:to>
      <xdr:col>7</xdr:col>
      <xdr:colOff>181364</xdr:colOff>
      <xdr:row>31</xdr:row>
      <xdr:rowOff>7502</xdr:rowOff>
    </xdr:to>
    <xdr:sp macro="" textlink="$D$30">
      <xdr:nvSpPr>
        <xdr:cNvPr id="11" name="Rectangle 10">
          <a:extLst>
            <a:ext uri="{FF2B5EF4-FFF2-40B4-BE49-F238E27FC236}">
              <a16:creationId xmlns:a16="http://schemas.microsoft.com/office/drawing/2014/main" id="{44737A71-0235-E7A5-70FE-A4A162853505}"/>
            </a:ext>
          </a:extLst>
        </xdr:cNvPr>
        <xdr:cNvSpPr/>
      </xdr:nvSpPr>
      <xdr:spPr>
        <a:xfrm>
          <a:off x="3257939" y="5903478"/>
          <a:ext cx="1752600" cy="3905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84E86D4-0E58-474D-B7B8-92D5FB88B3F5}" type="TxLink">
            <a:rPr lang="en-US" sz="1600" b="1" i="0" u="none" strike="noStrike">
              <a:solidFill>
                <a:schemeClr val="bg2"/>
              </a:solidFill>
              <a:latin typeface="Aptos Narrow"/>
            </a:rPr>
            <a:pPr algn="l"/>
            <a:t>Max. Revenue</a:t>
          </a:fld>
          <a:endParaRPr lang="en-IN" sz="1600" b="1">
            <a:solidFill>
              <a:schemeClr val="bg2"/>
            </a:solidFill>
          </a:endParaRPr>
        </a:p>
      </xdr:txBody>
    </xdr:sp>
    <xdr:clientData/>
  </xdr:twoCellAnchor>
  <xdr:twoCellAnchor>
    <xdr:from>
      <xdr:col>4</xdr:col>
      <xdr:colOff>495689</xdr:colOff>
      <xdr:row>31</xdr:row>
      <xdr:rowOff>120014</xdr:rowOff>
    </xdr:from>
    <xdr:to>
      <xdr:col>7</xdr:col>
      <xdr:colOff>181364</xdr:colOff>
      <xdr:row>33</xdr:row>
      <xdr:rowOff>129539</xdr:rowOff>
    </xdr:to>
    <xdr:sp macro="" textlink="$D$33">
      <xdr:nvSpPr>
        <xdr:cNvPr id="12" name="Rectangle 11">
          <a:extLst>
            <a:ext uri="{FF2B5EF4-FFF2-40B4-BE49-F238E27FC236}">
              <a16:creationId xmlns:a16="http://schemas.microsoft.com/office/drawing/2014/main" id="{E1115F35-3B98-C518-590C-0DBF22FDEFE1}"/>
            </a:ext>
          </a:extLst>
        </xdr:cNvPr>
        <xdr:cNvSpPr/>
      </xdr:nvSpPr>
      <xdr:spPr>
        <a:xfrm>
          <a:off x="3257939" y="6406514"/>
          <a:ext cx="1752600"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152767-41C3-48C4-AFDF-A40DCD531C20}" type="TxLink">
            <a:rPr lang="en-US" sz="1600" b="1" i="0" u="none" strike="noStrike">
              <a:solidFill>
                <a:srgbClr val="000000"/>
              </a:solidFill>
              <a:latin typeface="Aptos Narrow"/>
            </a:rPr>
            <a:pPr algn="l"/>
            <a:t>₹ 6,00,000</a:t>
          </a:fld>
          <a:endParaRPr lang="en-IN" sz="1600" b="1"/>
        </a:p>
      </xdr:txBody>
    </xdr:sp>
    <xdr:clientData/>
  </xdr:twoCellAnchor>
  <xdr:twoCellAnchor>
    <xdr:from>
      <xdr:col>4</xdr:col>
      <xdr:colOff>495689</xdr:colOff>
      <xdr:row>34</xdr:row>
      <xdr:rowOff>51551</xdr:rowOff>
    </xdr:from>
    <xdr:to>
      <xdr:col>7</xdr:col>
      <xdr:colOff>181364</xdr:colOff>
      <xdr:row>36</xdr:row>
      <xdr:rowOff>61076</xdr:rowOff>
    </xdr:to>
    <xdr:sp macro="" textlink="$D$35">
      <xdr:nvSpPr>
        <xdr:cNvPr id="13" name="Rectangle 12">
          <a:extLst>
            <a:ext uri="{FF2B5EF4-FFF2-40B4-BE49-F238E27FC236}">
              <a16:creationId xmlns:a16="http://schemas.microsoft.com/office/drawing/2014/main" id="{F8E3CD3B-B3C0-F074-D949-E9558A23C115}"/>
            </a:ext>
          </a:extLst>
        </xdr:cNvPr>
        <xdr:cNvSpPr/>
      </xdr:nvSpPr>
      <xdr:spPr>
        <a:xfrm>
          <a:off x="3257939" y="6909551"/>
          <a:ext cx="1752600"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2ADECE0-C7DF-4CB7-9020-BFFA3D0A9225}" type="TxLink">
            <a:rPr lang="en-US" sz="1600" b="1" i="0" u="none" strike="noStrike">
              <a:solidFill>
                <a:schemeClr val="bg2"/>
              </a:solidFill>
              <a:latin typeface="Aptos Narrow"/>
            </a:rPr>
            <a:pPr algn="l"/>
            <a:t>Min. Revenue</a:t>
          </a:fld>
          <a:endParaRPr lang="en-IN" sz="1600" b="1">
            <a:solidFill>
              <a:schemeClr val="bg2"/>
            </a:solidFill>
          </a:endParaRPr>
        </a:p>
      </xdr:txBody>
    </xdr:sp>
    <xdr:clientData/>
  </xdr:twoCellAnchor>
  <xdr:twoCellAnchor>
    <xdr:from>
      <xdr:col>4</xdr:col>
      <xdr:colOff>495689</xdr:colOff>
      <xdr:row>36</xdr:row>
      <xdr:rowOff>173588</xdr:rowOff>
    </xdr:from>
    <xdr:to>
      <xdr:col>7</xdr:col>
      <xdr:colOff>181364</xdr:colOff>
      <xdr:row>38</xdr:row>
      <xdr:rowOff>183113</xdr:rowOff>
    </xdr:to>
    <xdr:sp macro="" textlink="$D$38">
      <xdr:nvSpPr>
        <xdr:cNvPr id="14" name="Rectangle 13">
          <a:extLst>
            <a:ext uri="{FF2B5EF4-FFF2-40B4-BE49-F238E27FC236}">
              <a16:creationId xmlns:a16="http://schemas.microsoft.com/office/drawing/2014/main" id="{EBE4805C-F245-7F27-40D3-41AD409E183D}"/>
            </a:ext>
          </a:extLst>
        </xdr:cNvPr>
        <xdr:cNvSpPr/>
      </xdr:nvSpPr>
      <xdr:spPr>
        <a:xfrm>
          <a:off x="3257939" y="7412588"/>
          <a:ext cx="1752600" cy="390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7DCED5-C443-4E90-B5C5-F429D81718B4}" type="TxLink">
            <a:rPr lang="en-US" sz="1600" b="1" i="0" u="none" strike="noStrike">
              <a:solidFill>
                <a:srgbClr val="000000"/>
              </a:solidFill>
              <a:latin typeface="Aptos Narrow"/>
            </a:rPr>
            <a:pPr algn="l"/>
            <a:t>₹ 800</a:t>
          </a:fld>
          <a:endParaRPr lang="en-IN" sz="1600" b="1"/>
        </a:p>
      </xdr:txBody>
    </xdr:sp>
    <xdr:clientData/>
  </xdr:twoCellAnchor>
  <xdr:twoCellAnchor editAs="oneCell">
    <xdr:from>
      <xdr:col>6</xdr:col>
      <xdr:colOff>168080</xdr:colOff>
      <xdr:row>0</xdr:row>
      <xdr:rowOff>25834</xdr:rowOff>
    </xdr:from>
    <xdr:to>
      <xdr:col>9</xdr:col>
      <xdr:colOff>494967</xdr:colOff>
      <xdr:row>5</xdr:row>
      <xdr:rowOff>90320</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45F2ED7D-E41B-0B9D-1971-B7C523481FD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20955" y="25834"/>
              <a:ext cx="2148544" cy="101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387559</xdr:colOff>
      <xdr:row>0</xdr:row>
      <xdr:rowOff>68518</xdr:rowOff>
    </xdr:from>
    <xdr:to>
      <xdr:col>13</xdr:col>
      <xdr:colOff>250102</xdr:colOff>
      <xdr:row>5</xdr:row>
      <xdr:rowOff>133004</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2849D2B5-B347-875F-6739-B287828D38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69309" y="68518"/>
              <a:ext cx="2148543" cy="101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7908</xdr:colOff>
      <xdr:row>0</xdr:row>
      <xdr:rowOff>76380</xdr:rowOff>
    </xdr:from>
    <xdr:to>
      <xdr:col>16</xdr:col>
      <xdr:colOff>510692</xdr:colOff>
      <xdr:row>5</xdr:row>
      <xdr:rowOff>140866</xdr:rowOff>
    </xdr:to>
    <mc:AlternateContent xmlns:mc="http://schemas.openxmlformats.org/markup-compatibility/2006" xmlns:a14="http://schemas.microsoft.com/office/drawing/2010/main">
      <mc:Choice Requires="a14">
        <xdr:graphicFrame macro="">
          <xdr:nvGraphicFramePr>
            <xdr:cNvPr id="17" name="Sales person">
              <a:extLst>
                <a:ext uri="{FF2B5EF4-FFF2-40B4-BE49-F238E27FC236}">
                  <a16:creationId xmlns:a16="http://schemas.microsoft.com/office/drawing/2014/main" id="{BB0D0594-9096-AF02-67FC-52A3D3563021}"/>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282877" y="76380"/>
              <a:ext cx="2145847" cy="1016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81770</xdr:colOff>
      <xdr:row>32</xdr:row>
      <xdr:rowOff>105134</xdr:rowOff>
    </xdr:from>
    <xdr:to>
      <xdr:col>12</xdr:col>
      <xdr:colOff>963956</xdr:colOff>
      <xdr:row>43</xdr:row>
      <xdr:rowOff>128856</xdr:rowOff>
    </xdr:to>
    <xdr:graphicFrame macro="">
      <xdr:nvGraphicFramePr>
        <xdr:cNvPr id="18" name="Chart 17">
          <a:extLst>
            <a:ext uri="{FF2B5EF4-FFF2-40B4-BE49-F238E27FC236}">
              <a16:creationId xmlns:a16="http://schemas.microsoft.com/office/drawing/2014/main" id="{F11464E7-EBCD-7E72-6658-87A093CF4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243293</xdr:colOff>
      <xdr:row>35</xdr:row>
      <xdr:rowOff>15050</xdr:rowOff>
    </xdr:from>
    <xdr:to>
      <xdr:col>20</xdr:col>
      <xdr:colOff>502984</xdr:colOff>
      <xdr:row>47</xdr:row>
      <xdr:rowOff>92688</xdr:rowOff>
    </xdr:to>
    <xdr:graphicFrame macro="">
      <xdr:nvGraphicFramePr>
        <xdr:cNvPr id="19" name="Chart 18">
          <a:extLst>
            <a:ext uri="{FF2B5EF4-FFF2-40B4-BE49-F238E27FC236}">
              <a16:creationId xmlns:a16="http://schemas.microsoft.com/office/drawing/2014/main" id="{5C38C0A9-FA79-0F57-E9CC-59D7AAFF1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567007</xdr:colOff>
      <xdr:row>34</xdr:row>
      <xdr:rowOff>35942</xdr:rowOff>
    </xdr:from>
    <xdr:to>
      <xdr:col>17</xdr:col>
      <xdr:colOff>233632</xdr:colOff>
      <xdr:row>43</xdr:row>
      <xdr:rowOff>131551</xdr:rowOff>
    </xdr:to>
    <xdr:graphicFrame macro="">
      <xdr:nvGraphicFramePr>
        <xdr:cNvPr id="20" name="Chart 19">
          <a:extLst>
            <a:ext uri="{FF2B5EF4-FFF2-40B4-BE49-F238E27FC236}">
              <a16:creationId xmlns:a16="http://schemas.microsoft.com/office/drawing/2014/main" id="{63871EE5-D77F-7780-353A-D3EBCFCBA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107157</xdr:colOff>
      <xdr:row>36</xdr:row>
      <xdr:rowOff>63125</xdr:rowOff>
    </xdr:from>
    <xdr:to>
      <xdr:col>23</xdr:col>
      <xdr:colOff>331803</xdr:colOff>
      <xdr:row>45</xdr:row>
      <xdr:rowOff>169515</xdr:rowOff>
    </xdr:to>
    <xdr:graphicFrame macro="">
      <xdr:nvGraphicFramePr>
        <xdr:cNvPr id="21" name="Chart 20">
          <a:extLst>
            <a:ext uri="{FF2B5EF4-FFF2-40B4-BE49-F238E27FC236}">
              <a16:creationId xmlns:a16="http://schemas.microsoft.com/office/drawing/2014/main" id="{DC0F3F1D-8EAC-FA5D-E88B-405B44F44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78176</xdr:colOff>
      <xdr:row>35</xdr:row>
      <xdr:rowOff>188253</xdr:rowOff>
    </xdr:from>
    <xdr:to>
      <xdr:col>26</xdr:col>
      <xdr:colOff>432893</xdr:colOff>
      <xdr:row>46</xdr:row>
      <xdr:rowOff>140087</xdr:rowOff>
    </xdr:to>
    <xdr:graphicFrame macro="">
      <xdr:nvGraphicFramePr>
        <xdr:cNvPr id="22" name="Chart 21">
          <a:extLst>
            <a:ext uri="{FF2B5EF4-FFF2-40B4-BE49-F238E27FC236}">
              <a16:creationId xmlns:a16="http://schemas.microsoft.com/office/drawing/2014/main" id="{5B4401E1-3EEC-B049-9AAC-C2803A576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15689</xdr:rowOff>
    </xdr:from>
    <xdr:to>
      <xdr:col>25</xdr:col>
      <xdr:colOff>544286</xdr:colOff>
      <xdr:row>6</xdr:row>
      <xdr:rowOff>41953</xdr:rowOff>
    </xdr:to>
    <xdr:sp macro="" textlink="">
      <xdr:nvSpPr>
        <xdr:cNvPr id="2" name="Rectangle 1">
          <a:extLst>
            <a:ext uri="{FF2B5EF4-FFF2-40B4-BE49-F238E27FC236}">
              <a16:creationId xmlns:a16="http://schemas.microsoft.com/office/drawing/2014/main" id="{ABE3CCC9-5081-1F36-8B03-42AD51990625}"/>
            </a:ext>
          </a:extLst>
        </xdr:cNvPr>
        <xdr:cNvSpPr/>
      </xdr:nvSpPr>
      <xdr:spPr>
        <a:xfrm>
          <a:off x="29766" y="15689"/>
          <a:ext cx="15069911" cy="11573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400" b="1">
              <a:solidFill>
                <a:schemeClr val="bg2"/>
              </a:solidFill>
            </a:rPr>
            <a:t>Sales Analytics</a:t>
          </a:r>
          <a:r>
            <a:rPr lang="en-IN" sz="3400" b="1" baseline="0">
              <a:solidFill>
                <a:schemeClr val="bg2"/>
              </a:solidFill>
            </a:rPr>
            <a:t> Dashboard</a:t>
          </a:r>
        </a:p>
        <a:p>
          <a:pPr algn="ctr"/>
          <a:r>
            <a:rPr lang="en-IN" sz="3400" b="1" baseline="0">
              <a:solidFill>
                <a:schemeClr val="bg2"/>
              </a:solidFill>
            </a:rPr>
            <a:t>Dataset : Jan-june(2025)</a:t>
          </a:r>
          <a:endParaRPr lang="en-IN" sz="3400" b="1">
            <a:solidFill>
              <a:schemeClr val="bg2"/>
            </a:solidFill>
          </a:endParaRPr>
        </a:p>
      </xdr:txBody>
    </xdr:sp>
    <xdr:clientData/>
  </xdr:twoCellAnchor>
  <xdr:twoCellAnchor>
    <xdr:from>
      <xdr:col>1</xdr:col>
      <xdr:colOff>0</xdr:colOff>
      <xdr:row>6</xdr:row>
      <xdr:rowOff>68018</xdr:rowOff>
    </xdr:from>
    <xdr:to>
      <xdr:col>4</xdr:col>
      <xdr:colOff>462101</xdr:colOff>
      <xdr:row>8</xdr:row>
      <xdr:rowOff>77543</xdr:rowOff>
    </xdr:to>
    <xdr:sp macro="" textlink="">
      <xdr:nvSpPr>
        <xdr:cNvPr id="3" name="Rectangle 2">
          <a:extLst>
            <a:ext uri="{FF2B5EF4-FFF2-40B4-BE49-F238E27FC236}">
              <a16:creationId xmlns:a16="http://schemas.microsoft.com/office/drawing/2014/main" id="{B0E10A46-8004-4DED-A4E1-210BD703657D}"/>
            </a:ext>
          </a:extLst>
        </xdr:cNvPr>
        <xdr:cNvSpPr/>
      </xdr:nvSpPr>
      <xdr:spPr>
        <a:xfrm>
          <a:off x="29766" y="1199112"/>
          <a:ext cx="2277804"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2"/>
              </a:solidFill>
            </a:rPr>
            <a:t>Total Sale</a:t>
          </a:r>
        </a:p>
      </xdr:txBody>
    </xdr:sp>
    <xdr:clientData/>
  </xdr:twoCellAnchor>
  <xdr:twoCellAnchor>
    <xdr:from>
      <xdr:col>1</xdr:col>
      <xdr:colOff>11076</xdr:colOff>
      <xdr:row>8</xdr:row>
      <xdr:rowOff>106162</xdr:rowOff>
    </xdr:from>
    <xdr:to>
      <xdr:col>4</xdr:col>
      <xdr:colOff>467559</xdr:colOff>
      <xdr:row>10</xdr:row>
      <xdr:rowOff>115687</xdr:rowOff>
    </xdr:to>
    <xdr:sp macro="" textlink="Kpi!$D$12">
      <xdr:nvSpPr>
        <xdr:cNvPr id="4" name="Rectangle 3">
          <a:extLst>
            <a:ext uri="{FF2B5EF4-FFF2-40B4-BE49-F238E27FC236}">
              <a16:creationId xmlns:a16="http://schemas.microsoft.com/office/drawing/2014/main" id="{F329E8C1-DEF0-4437-9214-B838EED87E07}"/>
            </a:ext>
          </a:extLst>
        </xdr:cNvPr>
        <xdr:cNvSpPr/>
      </xdr:nvSpPr>
      <xdr:spPr>
        <a:xfrm>
          <a:off x="40842" y="1614287"/>
          <a:ext cx="2272186"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BBB971-D6AA-4CF4-AD17-64E8FCF53F18}" type="TxLink">
            <a:rPr lang="en-US" sz="2400" b="0" i="0" u="none" strike="noStrike">
              <a:solidFill>
                <a:srgbClr val="000000"/>
              </a:solidFill>
              <a:latin typeface="Aptos Narrow"/>
            </a:rPr>
            <a:pPr algn="l"/>
            <a:t>₹ 11,63,24,000</a:t>
          </a:fld>
          <a:endParaRPr lang="en-IN" sz="2400" b="1">
            <a:solidFill>
              <a:schemeClr val="tx1"/>
            </a:solidFill>
          </a:endParaRPr>
        </a:p>
      </xdr:txBody>
    </xdr:sp>
    <xdr:clientData/>
  </xdr:twoCellAnchor>
  <xdr:twoCellAnchor>
    <xdr:from>
      <xdr:col>4</xdr:col>
      <xdr:colOff>487616</xdr:colOff>
      <xdr:row>6</xdr:row>
      <xdr:rowOff>68018</xdr:rowOff>
    </xdr:from>
    <xdr:to>
      <xdr:col>8</xdr:col>
      <xdr:colOff>594330</xdr:colOff>
      <xdr:row>8</xdr:row>
      <xdr:rowOff>77543</xdr:rowOff>
    </xdr:to>
    <xdr:sp macro="" textlink="">
      <xdr:nvSpPr>
        <xdr:cNvPr id="5" name="Rectangle 4">
          <a:extLst>
            <a:ext uri="{FF2B5EF4-FFF2-40B4-BE49-F238E27FC236}">
              <a16:creationId xmlns:a16="http://schemas.microsoft.com/office/drawing/2014/main" id="{2A3A2FC2-8B76-4C5E-ADA8-C69429C57394}"/>
            </a:ext>
          </a:extLst>
        </xdr:cNvPr>
        <xdr:cNvSpPr/>
      </xdr:nvSpPr>
      <xdr:spPr>
        <a:xfrm>
          <a:off x="2333085" y="1199112"/>
          <a:ext cx="2527651"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2"/>
              </a:solidFill>
            </a:rPr>
            <a:t>Total Profit</a:t>
          </a:r>
        </a:p>
      </xdr:txBody>
    </xdr:sp>
    <xdr:clientData/>
  </xdr:twoCellAnchor>
  <xdr:twoCellAnchor>
    <xdr:from>
      <xdr:col>4</xdr:col>
      <xdr:colOff>493044</xdr:colOff>
      <xdr:row>8</xdr:row>
      <xdr:rowOff>106162</xdr:rowOff>
    </xdr:from>
    <xdr:to>
      <xdr:col>8</xdr:col>
      <xdr:colOff>599758</xdr:colOff>
      <xdr:row>10</xdr:row>
      <xdr:rowOff>115687</xdr:rowOff>
    </xdr:to>
    <xdr:sp macro="" textlink="Kpi!$D$17">
      <xdr:nvSpPr>
        <xdr:cNvPr id="6" name="Rectangle 5">
          <a:extLst>
            <a:ext uri="{FF2B5EF4-FFF2-40B4-BE49-F238E27FC236}">
              <a16:creationId xmlns:a16="http://schemas.microsoft.com/office/drawing/2014/main" id="{A826C9E0-094F-4100-ABC6-44D22B26F4C6}"/>
            </a:ext>
          </a:extLst>
        </xdr:cNvPr>
        <xdr:cNvSpPr/>
      </xdr:nvSpPr>
      <xdr:spPr>
        <a:xfrm>
          <a:off x="2338513" y="1614287"/>
          <a:ext cx="2527651"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700BC5D-1942-45B3-9F92-DC63D8E39221}" type="TxLink">
            <a:rPr lang="en-US" sz="2400" b="0" i="0" u="none" strike="noStrike">
              <a:solidFill>
                <a:srgbClr val="000000"/>
              </a:solidFill>
              <a:latin typeface="Aptos Narrow"/>
            </a:rPr>
            <a:pPr algn="l"/>
            <a:t>₹ 2,87,68,838</a:t>
          </a:fld>
          <a:endParaRPr lang="en-IN" sz="2400" b="1">
            <a:solidFill>
              <a:schemeClr val="tx1"/>
            </a:solidFill>
          </a:endParaRPr>
        </a:p>
      </xdr:txBody>
    </xdr:sp>
    <xdr:clientData/>
  </xdr:twoCellAnchor>
  <xdr:twoCellAnchor>
    <xdr:from>
      <xdr:col>9</xdr:col>
      <xdr:colOff>21131</xdr:colOff>
      <xdr:row>6</xdr:row>
      <xdr:rowOff>68018</xdr:rowOff>
    </xdr:from>
    <xdr:to>
      <xdr:col>13</xdr:col>
      <xdr:colOff>127845</xdr:colOff>
      <xdr:row>8</xdr:row>
      <xdr:rowOff>77543</xdr:rowOff>
    </xdr:to>
    <xdr:sp macro="" textlink="">
      <xdr:nvSpPr>
        <xdr:cNvPr id="7" name="Rectangle 6">
          <a:extLst>
            <a:ext uri="{FF2B5EF4-FFF2-40B4-BE49-F238E27FC236}">
              <a16:creationId xmlns:a16="http://schemas.microsoft.com/office/drawing/2014/main" id="{3A21683D-C521-4831-8215-0C81DA449B8C}"/>
            </a:ext>
          </a:extLst>
        </xdr:cNvPr>
        <xdr:cNvSpPr/>
      </xdr:nvSpPr>
      <xdr:spPr>
        <a:xfrm>
          <a:off x="4892772" y="1199112"/>
          <a:ext cx="2527651"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2"/>
              </a:solidFill>
            </a:rPr>
            <a:t>Units Solds</a:t>
          </a:r>
        </a:p>
      </xdr:txBody>
    </xdr:sp>
    <xdr:clientData/>
  </xdr:twoCellAnchor>
  <xdr:twoCellAnchor>
    <xdr:from>
      <xdr:col>9</xdr:col>
      <xdr:colOff>23998</xdr:colOff>
      <xdr:row>8</xdr:row>
      <xdr:rowOff>106162</xdr:rowOff>
    </xdr:from>
    <xdr:to>
      <xdr:col>13</xdr:col>
      <xdr:colOff>130712</xdr:colOff>
      <xdr:row>10</xdr:row>
      <xdr:rowOff>115687</xdr:rowOff>
    </xdr:to>
    <xdr:sp macro="" textlink="Kpi!$D$23">
      <xdr:nvSpPr>
        <xdr:cNvPr id="8" name="Rectangle 7">
          <a:extLst>
            <a:ext uri="{FF2B5EF4-FFF2-40B4-BE49-F238E27FC236}">
              <a16:creationId xmlns:a16="http://schemas.microsoft.com/office/drawing/2014/main" id="{307C790A-DC34-4564-882C-3B20C801B90D}"/>
            </a:ext>
          </a:extLst>
        </xdr:cNvPr>
        <xdr:cNvSpPr/>
      </xdr:nvSpPr>
      <xdr:spPr>
        <a:xfrm>
          <a:off x="4895639" y="1614287"/>
          <a:ext cx="2527651"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09523A3-AC50-436A-9823-F684CB1C7BD3}" type="TxLink">
            <a:rPr lang="en-US" sz="2400" b="0" i="0" u="none" strike="noStrike">
              <a:solidFill>
                <a:srgbClr val="000000"/>
              </a:solidFill>
              <a:latin typeface="Aptos Narrow"/>
            </a:rPr>
            <a:pPr algn="l"/>
            <a:t>5594</a:t>
          </a:fld>
          <a:endParaRPr lang="en-IN" sz="2400" b="1"/>
        </a:p>
      </xdr:txBody>
    </xdr:sp>
    <xdr:clientData/>
  </xdr:twoCellAnchor>
  <xdr:twoCellAnchor>
    <xdr:from>
      <xdr:col>13</xdr:col>
      <xdr:colOff>166967</xdr:colOff>
      <xdr:row>6</xdr:row>
      <xdr:rowOff>68018</xdr:rowOff>
    </xdr:from>
    <xdr:to>
      <xdr:col>17</xdr:col>
      <xdr:colOff>273681</xdr:colOff>
      <xdr:row>8</xdr:row>
      <xdr:rowOff>77543</xdr:rowOff>
    </xdr:to>
    <xdr:sp macro="" textlink="Kpi!$D$25">
      <xdr:nvSpPr>
        <xdr:cNvPr id="9" name="Rectangle 8">
          <a:extLst>
            <a:ext uri="{FF2B5EF4-FFF2-40B4-BE49-F238E27FC236}">
              <a16:creationId xmlns:a16="http://schemas.microsoft.com/office/drawing/2014/main" id="{696704B0-ECF1-4AC4-9C80-7FC63FA972CF}"/>
            </a:ext>
          </a:extLst>
        </xdr:cNvPr>
        <xdr:cNvSpPr/>
      </xdr:nvSpPr>
      <xdr:spPr>
        <a:xfrm>
          <a:off x="7459545" y="1199112"/>
          <a:ext cx="2527652"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EFE090D-1326-4B61-8707-53BE63E5FAA1}" type="TxLink">
            <a:rPr lang="en-US" sz="2400" b="1" i="0" u="none" strike="noStrike">
              <a:solidFill>
                <a:schemeClr val="bg2"/>
              </a:solidFill>
              <a:latin typeface="Aptos Narrow"/>
            </a:rPr>
            <a:pPr algn="l"/>
            <a:t>Average </a:t>
          </a:fld>
          <a:r>
            <a:rPr lang="en-US" sz="2400" b="1" i="0" u="none" strike="noStrike">
              <a:solidFill>
                <a:schemeClr val="bg2"/>
              </a:solidFill>
              <a:latin typeface="Aptos Narrow"/>
            </a:rPr>
            <a:t>(Daily) Rev.)</a:t>
          </a:r>
          <a:endParaRPr lang="en-IN" sz="2400" b="1">
            <a:solidFill>
              <a:schemeClr val="bg2"/>
            </a:solidFill>
          </a:endParaRPr>
        </a:p>
      </xdr:txBody>
    </xdr:sp>
    <xdr:clientData/>
  </xdr:twoCellAnchor>
  <xdr:twoCellAnchor>
    <xdr:from>
      <xdr:col>17</xdr:col>
      <xdr:colOff>312803</xdr:colOff>
      <xdr:row>6</xdr:row>
      <xdr:rowOff>68019</xdr:rowOff>
    </xdr:from>
    <xdr:to>
      <xdr:col>21</xdr:col>
      <xdr:colOff>419518</xdr:colOff>
      <xdr:row>8</xdr:row>
      <xdr:rowOff>77543</xdr:rowOff>
    </xdr:to>
    <xdr:sp macro="" textlink="Kpi!$D$30">
      <xdr:nvSpPr>
        <xdr:cNvPr id="10" name="Rectangle 9">
          <a:extLst>
            <a:ext uri="{FF2B5EF4-FFF2-40B4-BE49-F238E27FC236}">
              <a16:creationId xmlns:a16="http://schemas.microsoft.com/office/drawing/2014/main" id="{6A829596-F7F0-478F-A8D5-3C0C19682427}"/>
            </a:ext>
          </a:extLst>
        </xdr:cNvPr>
        <xdr:cNvSpPr/>
      </xdr:nvSpPr>
      <xdr:spPr>
        <a:xfrm>
          <a:off x="10026319" y="1199113"/>
          <a:ext cx="2527652" cy="38655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2212E1-B9F9-498C-A560-43B34179468C}" type="TxLink">
            <a:rPr lang="en-US" sz="2400" b="1" i="0" u="none" strike="noStrike">
              <a:solidFill>
                <a:schemeClr val="bg2"/>
              </a:solidFill>
              <a:latin typeface="Aptos Narrow"/>
            </a:rPr>
            <a:pPr algn="l"/>
            <a:t>Max. Revenue</a:t>
          </a:fld>
          <a:endParaRPr lang="en-IN" sz="2400" b="1">
            <a:solidFill>
              <a:schemeClr val="bg2"/>
            </a:solidFill>
          </a:endParaRPr>
        </a:p>
      </xdr:txBody>
    </xdr:sp>
    <xdr:clientData/>
  </xdr:twoCellAnchor>
  <xdr:twoCellAnchor>
    <xdr:from>
      <xdr:col>17</xdr:col>
      <xdr:colOff>310548</xdr:colOff>
      <xdr:row>8</xdr:row>
      <xdr:rowOff>106162</xdr:rowOff>
    </xdr:from>
    <xdr:to>
      <xdr:col>21</xdr:col>
      <xdr:colOff>417263</xdr:colOff>
      <xdr:row>10</xdr:row>
      <xdr:rowOff>115687</xdr:rowOff>
    </xdr:to>
    <xdr:sp macro="" textlink="Kpi!$D$33">
      <xdr:nvSpPr>
        <xdr:cNvPr id="11" name="Rectangle 10">
          <a:extLst>
            <a:ext uri="{FF2B5EF4-FFF2-40B4-BE49-F238E27FC236}">
              <a16:creationId xmlns:a16="http://schemas.microsoft.com/office/drawing/2014/main" id="{CD17186E-0F88-47B8-BDF8-334C6BEFDDF4}"/>
            </a:ext>
          </a:extLst>
        </xdr:cNvPr>
        <xdr:cNvSpPr/>
      </xdr:nvSpPr>
      <xdr:spPr>
        <a:xfrm>
          <a:off x="10024064" y="1614287"/>
          <a:ext cx="2527652"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DD5091E-87CB-47D7-A181-17B8F105026C}" type="TxLink">
            <a:rPr lang="en-US" sz="2400" b="0" i="0" u="none" strike="noStrike">
              <a:solidFill>
                <a:srgbClr val="000000"/>
              </a:solidFill>
              <a:latin typeface="Aptos Narrow"/>
            </a:rPr>
            <a:pPr algn="l"/>
            <a:t>₹ 6,00,000</a:t>
          </a:fld>
          <a:endParaRPr lang="en-IN" sz="2400" b="1"/>
        </a:p>
      </xdr:txBody>
    </xdr:sp>
    <xdr:clientData/>
  </xdr:twoCellAnchor>
  <xdr:twoCellAnchor>
    <xdr:from>
      <xdr:col>21</xdr:col>
      <xdr:colOff>445034</xdr:colOff>
      <xdr:row>6</xdr:row>
      <xdr:rowOff>68019</xdr:rowOff>
    </xdr:from>
    <xdr:to>
      <xdr:col>25</xdr:col>
      <xdr:colOff>551748</xdr:colOff>
      <xdr:row>8</xdr:row>
      <xdr:rowOff>77544</xdr:rowOff>
    </xdr:to>
    <xdr:sp macro="" textlink="Kpi!$D$35">
      <xdr:nvSpPr>
        <xdr:cNvPr id="12" name="Rectangle 11">
          <a:extLst>
            <a:ext uri="{FF2B5EF4-FFF2-40B4-BE49-F238E27FC236}">
              <a16:creationId xmlns:a16="http://schemas.microsoft.com/office/drawing/2014/main" id="{49FD260D-07BF-4171-8EC3-7D3FBE7E49D5}"/>
            </a:ext>
          </a:extLst>
        </xdr:cNvPr>
        <xdr:cNvSpPr/>
      </xdr:nvSpPr>
      <xdr:spPr>
        <a:xfrm>
          <a:off x="12579487" y="1199113"/>
          <a:ext cx="2527652"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65D1A7-E29F-4081-A353-A5051A3FFBFD}" type="TxLink">
            <a:rPr lang="en-US" sz="2400" b="1" i="0" u="none" strike="noStrike">
              <a:solidFill>
                <a:schemeClr val="bg2"/>
              </a:solidFill>
              <a:latin typeface="Aptos Narrow"/>
            </a:rPr>
            <a:pPr algn="l"/>
            <a:t>Min. Revenue</a:t>
          </a:fld>
          <a:endParaRPr lang="en-IN" sz="2400" b="1">
            <a:solidFill>
              <a:schemeClr val="bg2"/>
            </a:solidFill>
          </a:endParaRPr>
        </a:p>
      </xdr:txBody>
    </xdr:sp>
    <xdr:clientData/>
  </xdr:twoCellAnchor>
  <xdr:twoCellAnchor>
    <xdr:from>
      <xdr:col>21</xdr:col>
      <xdr:colOff>453825</xdr:colOff>
      <xdr:row>8</xdr:row>
      <xdr:rowOff>106162</xdr:rowOff>
    </xdr:from>
    <xdr:to>
      <xdr:col>25</xdr:col>
      <xdr:colOff>560539</xdr:colOff>
      <xdr:row>10</xdr:row>
      <xdr:rowOff>115687</xdr:rowOff>
    </xdr:to>
    <xdr:sp macro="" textlink="Kpi!$D$38">
      <xdr:nvSpPr>
        <xdr:cNvPr id="13" name="Rectangle 12">
          <a:extLst>
            <a:ext uri="{FF2B5EF4-FFF2-40B4-BE49-F238E27FC236}">
              <a16:creationId xmlns:a16="http://schemas.microsoft.com/office/drawing/2014/main" id="{A9B78292-65C3-4108-B137-6090EA9E055B}"/>
            </a:ext>
          </a:extLst>
        </xdr:cNvPr>
        <xdr:cNvSpPr/>
      </xdr:nvSpPr>
      <xdr:spPr>
        <a:xfrm>
          <a:off x="12588278" y="1614287"/>
          <a:ext cx="2527652" cy="386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957D78E-D9D4-4525-9009-5715531BF34F}" type="TxLink">
            <a:rPr lang="en-US" sz="2400" b="0" i="0" u="none" strike="noStrike">
              <a:solidFill>
                <a:srgbClr val="000000"/>
              </a:solidFill>
              <a:latin typeface="Aptos Narrow"/>
            </a:rPr>
            <a:pPr algn="l"/>
            <a:t>₹ 800</a:t>
          </a:fld>
          <a:endParaRPr lang="en-IN" sz="2400" b="1"/>
        </a:p>
      </xdr:txBody>
    </xdr:sp>
    <xdr:clientData/>
  </xdr:twoCellAnchor>
  <xdr:twoCellAnchor>
    <xdr:from>
      <xdr:col>13</xdr:col>
      <xdr:colOff>167273</xdr:colOff>
      <xdr:row>8</xdr:row>
      <xdr:rowOff>107959</xdr:rowOff>
    </xdr:from>
    <xdr:to>
      <xdr:col>17</xdr:col>
      <xdr:colOff>273987</xdr:colOff>
      <xdr:row>10</xdr:row>
      <xdr:rowOff>113889</xdr:rowOff>
    </xdr:to>
    <xdr:sp macro="" textlink="Kpi!$D$28">
      <xdr:nvSpPr>
        <xdr:cNvPr id="14" name="Rectangle 13">
          <a:extLst>
            <a:ext uri="{FF2B5EF4-FFF2-40B4-BE49-F238E27FC236}">
              <a16:creationId xmlns:a16="http://schemas.microsoft.com/office/drawing/2014/main" id="{D62D48FB-9EA5-44CB-A9B0-05DEA68FE4DD}"/>
            </a:ext>
          </a:extLst>
        </xdr:cNvPr>
        <xdr:cNvSpPr/>
      </xdr:nvSpPr>
      <xdr:spPr>
        <a:xfrm>
          <a:off x="7459851" y="1616084"/>
          <a:ext cx="2527652" cy="3829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F9F52C9-D2F2-4165-B145-5AE3562C42CD}" type="TxLink">
            <a:rPr lang="en-US" sz="2400" b="0" i="0" u="none" strike="noStrike">
              <a:solidFill>
                <a:srgbClr val="000000"/>
              </a:solidFill>
              <a:latin typeface="Aptos Narrow"/>
            </a:rPr>
            <a:pPr algn="l"/>
            <a:t>₹ 1,16,324</a:t>
          </a:fld>
          <a:endParaRPr lang="en-IN" sz="2400" b="1"/>
        </a:p>
      </xdr:txBody>
    </xdr:sp>
    <xdr:clientData/>
  </xdr:twoCellAnchor>
  <xdr:twoCellAnchor editAs="oneCell">
    <xdr:from>
      <xdr:col>1</xdr:col>
      <xdr:colOff>0</xdr:colOff>
      <xdr:row>10</xdr:row>
      <xdr:rowOff>142258</xdr:rowOff>
    </xdr:from>
    <xdr:to>
      <xdr:col>4</xdr:col>
      <xdr:colOff>319871</xdr:colOff>
      <xdr:row>16</xdr:row>
      <xdr:rowOff>7258</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6630E178-21C6-4B71-8FFD-B2017155FF2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9158" y="2086136"/>
              <a:ext cx="2156835" cy="1031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22</xdr:row>
      <xdr:rowOff>173838</xdr:rowOff>
    </xdr:from>
    <xdr:to>
      <xdr:col>4</xdr:col>
      <xdr:colOff>319871</xdr:colOff>
      <xdr:row>26</xdr:row>
      <xdr:rowOff>131838</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6AA44D57-CCB1-4BF6-95D3-80131F2C1C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158" y="4450369"/>
              <a:ext cx="2156835" cy="735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32048</xdr:rowOff>
    </xdr:from>
    <xdr:to>
      <xdr:col>4</xdr:col>
      <xdr:colOff>319871</xdr:colOff>
      <xdr:row>22</xdr:row>
      <xdr:rowOff>149048</xdr:rowOff>
    </xdr:to>
    <mc:AlternateContent xmlns:mc="http://schemas.openxmlformats.org/markup-compatibility/2006" xmlns:a14="http://schemas.microsoft.com/office/drawing/2010/main">
      <mc:Choice Requires="a14">
        <xdr:graphicFrame macro="">
          <xdr:nvGraphicFramePr>
            <xdr:cNvPr id="17" name="Sales person 1">
              <a:extLst>
                <a:ext uri="{FF2B5EF4-FFF2-40B4-BE49-F238E27FC236}">
                  <a16:creationId xmlns:a16="http://schemas.microsoft.com/office/drawing/2014/main" id="{6CC9994A-2DB3-48F0-B5F9-05950017C866}"/>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29158" y="3142252"/>
              <a:ext cx="2156835" cy="1283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26</xdr:row>
      <xdr:rowOff>169472</xdr:rowOff>
    </xdr:from>
    <xdr:to>
      <xdr:col>4</xdr:col>
      <xdr:colOff>23679</xdr:colOff>
      <xdr:row>34</xdr:row>
      <xdr:rowOff>74221</xdr:rowOff>
    </xdr:to>
    <xdr:sp macro="" textlink="">
      <xdr:nvSpPr>
        <xdr:cNvPr id="18" name="Rectangle 17">
          <a:hlinkClick xmlns:r="http://schemas.openxmlformats.org/officeDocument/2006/relationships" r:id="rId1"/>
          <a:extLst>
            <a:ext uri="{FF2B5EF4-FFF2-40B4-BE49-F238E27FC236}">
              <a16:creationId xmlns:a16="http://schemas.microsoft.com/office/drawing/2014/main" id="{3E93FAAB-92CB-6570-C039-33393D838A62}"/>
            </a:ext>
          </a:extLst>
        </xdr:cNvPr>
        <xdr:cNvSpPr/>
      </xdr:nvSpPr>
      <xdr:spPr>
        <a:xfrm>
          <a:off x="34636" y="5122472"/>
          <a:ext cx="1842088" cy="14287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412018</xdr:colOff>
      <xdr:row>32</xdr:row>
      <xdr:rowOff>27215</xdr:rowOff>
    </xdr:from>
    <xdr:to>
      <xdr:col>2</xdr:col>
      <xdr:colOff>237846</xdr:colOff>
      <xdr:row>34</xdr:row>
      <xdr:rowOff>84364</xdr:rowOff>
    </xdr:to>
    <xdr:pic>
      <xdr:nvPicPr>
        <xdr:cNvPr id="32" name="Graphic 31" descr="Chevron arrows with solid fill">
          <a:hlinkClick xmlns:r="http://schemas.openxmlformats.org/officeDocument/2006/relationships" r:id="rId2"/>
          <a:extLst>
            <a:ext uri="{FF2B5EF4-FFF2-40B4-BE49-F238E27FC236}">
              <a16:creationId xmlns:a16="http://schemas.microsoft.com/office/drawing/2014/main" id="{A9AC286F-1B15-7F44-AF8C-2B1A6AD67B65}"/>
            </a:ext>
          </a:extLst>
        </xdr:cNvPr>
        <xdr:cNvPicPr>
          <a:picLocks noChangeAspect="1"/>
        </xdr:cNvPicPr>
      </xdr:nvPicPr>
      <xdr:blipFill>
        <a:blip xmlns:r="http://schemas.openxmlformats.org/officeDocument/2006/relationships" r:embed="rId3">
          <a:duotone>
            <a:schemeClr val="bg2">
              <a:shade val="45000"/>
              <a:satMod val="135000"/>
            </a:schemeClr>
            <a:prstClr val="white"/>
          </a:duotone>
          <a:extLst>
            <a:ext uri="{96DAC541-7B7A-43D3-8B79-37D633B846F1}">
              <asvg:svgBlip xmlns:asvg="http://schemas.microsoft.com/office/drawing/2016/SVG/main" r:embed="rId4"/>
            </a:ext>
          </a:extLst>
        </a:blip>
        <a:stretch>
          <a:fillRect/>
        </a:stretch>
      </xdr:blipFill>
      <xdr:spPr>
        <a:xfrm>
          <a:off x="445245" y="6052331"/>
          <a:ext cx="434985" cy="433719"/>
        </a:xfrm>
        <a:prstGeom prst="rect">
          <a:avLst/>
        </a:prstGeom>
      </xdr:spPr>
    </xdr:pic>
    <xdr:clientData/>
  </xdr:twoCellAnchor>
  <xdr:twoCellAnchor editAs="oneCell">
    <xdr:from>
      <xdr:col>1</xdr:col>
      <xdr:colOff>0</xdr:colOff>
      <xdr:row>32</xdr:row>
      <xdr:rowOff>16326</xdr:rowOff>
    </xdr:from>
    <xdr:to>
      <xdr:col>1</xdr:col>
      <xdr:colOff>446192</xdr:colOff>
      <xdr:row>34</xdr:row>
      <xdr:rowOff>84683</xdr:rowOff>
    </xdr:to>
    <xdr:pic>
      <xdr:nvPicPr>
        <xdr:cNvPr id="34" name="Graphic 33" descr="Chevron arrows with solid fill">
          <a:hlinkClick xmlns:r="http://schemas.openxmlformats.org/officeDocument/2006/relationships" r:id="rId1"/>
          <a:extLst>
            <a:ext uri="{FF2B5EF4-FFF2-40B4-BE49-F238E27FC236}">
              <a16:creationId xmlns:a16="http://schemas.microsoft.com/office/drawing/2014/main" id="{BE8F92CA-A83A-82E0-BC0C-9BF855A74D65}"/>
            </a:ext>
          </a:extLst>
        </xdr:cNvPr>
        <xdr:cNvPicPr>
          <a:picLocks noChangeAspect="1"/>
        </xdr:cNvPicPr>
      </xdr:nvPicPr>
      <xdr:blipFill>
        <a:blip xmlns:r="http://schemas.openxmlformats.org/officeDocument/2006/relationships" r:embed="rId5">
          <a:duotone>
            <a:schemeClr val="bg2">
              <a:shade val="45000"/>
              <a:satMod val="135000"/>
            </a:schemeClr>
            <a:prstClr val="white"/>
          </a:duotone>
          <a:extLst>
            <a:ext uri="{96DAC541-7B7A-43D3-8B79-37D633B846F1}">
              <asvg:svgBlip xmlns:asvg="http://schemas.microsoft.com/office/drawing/2016/SVG/main" r:embed="rId6"/>
            </a:ext>
          </a:extLst>
        </a:blip>
        <a:stretch>
          <a:fillRect/>
        </a:stretch>
      </xdr:blipFill>
      <xdr:spPr>
        <a:xfrm>
          <a:off x="979392" y="6302826"/>
          <a:ext cx="449357" cy="449357"/>
        </a:xfrm>
        <a:prstGeom prst="rect">
          <a:avLst/>
        </a:prstGeom>
      </xdr:spPr>
    </xdr:pic>
    <xdr:clientData/>
  </xdr:twoCellAnchor>
  <xdr:twoCellAnchor editAs="oneCell">
    <xdr:from>
      <xdr:col>3</xdr:col>
      <xdr:colOff>176893</xdr:colOff>
      <xdr:row>31</xdr:row>
      <xdr:rowOff>149681</xdr:rowOff>
    </xdr:from>
    <xdr:to>
      <xdr:col>4</xdr:col>
      <xdr:colOff>57791</xdr:colOff>
      <xdr:row>34</xdr:row>
      <xdr:rowOff>71400</xdr:rowOff>
    </xdr:to>
    <xdr:pic>
      <xdr:nvPicPr>
        <xdr:cNvPr id="36" name="Graphic 35" descr="Home with solid fill">
          <a:hlinkClick xmlns:r="http://schemas.openxmlformats.org/officeDocument/2006/relationships" r:id="rId7"/>
          <a:extLst>
            <a:ext uri="{FF2B5EF4-FFF2-40B4-BE49-F238E27FC236}">
              <a16:creationId xmlns:a16="http://schemas.microsoft.com/office/drawing/2014/main" id="{ADE51151-560D-E75C-9E54-746539EE2932}"/>
            </a:ext>
          </a:extLst>
        </xdr:cNvPr>
        <xdr:cNvPicPr>
          <a:picLocks noChangeAspect="1"/>
        </xdr:cNvPicPr>
      </xdr:nvPicPr>
      <xdr:blipFill>
        <a:blip xmlns:r="http://schemas.openxmlformats.org/officeDocument/2006/relationships" r:embed="rId8">
          <a:duotone>
            <a:schemeClr val="bg2">
              <a:shade val="45000"/>
              <a:satMod val="135000"/>
            </a:schemeClr>
            <a:prstClr val="white"/>
          </a:duotone>
          <a:extLst>
            <a:ext uri="{96DAC541-7B7A-43D3-8B79-37D633B846F1}">
              <asvg:svgBlip xmlns:asvg="http://schemas.microsoft.com/office/drawing/2016/SVG/main" r:embed="rId9"/>
            </a:ext>
          </a:extLst>
        </a:blip>
        <a:stretch>
          <a:fillRect/>
        </a:stretch>
      </xdr:blipFill>
      <xdr:spPr>
        <a:xfrm>
          <a:off x="2626179" y="6245681"/>
          <a:ext cx="493219" cy="493219"/>
        </a:xfrm>
        <a:prstGeom prst="rect">
          <a:avLst/>
        </a:prstGeom>
      </xdr:spPr>
    </xdr:pic>
    <xdr:clientData/>
  </xdr:twoCellAnchor>
  <xdr:twoCellAnchor>
    <xdr:from>
      <xdr:col>4</xdr:col>
      <xdr:colOff>54428</xdr:colOff>
      <xdr:row>10</xdr:row>
      <xdr:rowOff>138018</xdr:rowOff>
    </xdr:from>
    <xdr:to>
      <xdr:col>15</xdr:col>
      <xdr:colOff>57</xdr:colOff>
      <xdr:row>22</xdr:row>
      <xdr:rowOff>102018</xdr:rowOff>
    </xdr:to>
    <xdr:sp macro="" textlink="">
      <xdr:nvSpPr>
        <xdr:cNvPr id="37" name="Rectangle 36">
          <a:extLst>
            <a:ext uri="{FF2B5EF4-FFF2-40B4-BE49-F238E27FC236}">
              <a16:creationId xmlns:a16="http://schemas.microsoft.com/office/drawing/2014/main" id="{9EF370CD-1790-495C-C813-90282060354B}"/>
            </a:ext>
          </a:extLst>
        </xdr:cNvPr>
        <xdr:cNvSpPr/>
      </xdr:nvSpPr>
      <xdr:spPr>
        <a:xfrm>
          <a:off x="1920550" y="2081896"/>
          <a:ext cx="6681165" cy="229665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13610</xdr:colOff>
      <xdr:row>10</xdr:row>
      <xdr:rowOff>134306</xdr:rowOff>
    </xdr:from>
    <xdr:to>
      <xdr:col>25</xdr:col>
      <xdr:colOff>568396</xdr:colOff>
      <xdr:row>22</xdr:row>
      <xdr:rowOff>98306</xdr:rowOff>
    </xdr:to>
    <xdr:sp macro="" textlink="">
      <xdr:nvSpPr>
        <xdr:cNvPr id="38" name="Rectangle 37">
          <a:extLst>
            <a:ext uri="{FF2B5EF4-FFF2-40B4-BE49-F238E27FC236}">
              <a16:creationId xmlns:a16="http://schemas.microsoft.com/office/drawing/2014/main" id="{CC86DF2B-0954-7EFE-60A3-7892354B9F36}"/>
            </a:ext>
          </a:extLst>
        </xdr:cNvPr>
        <xdr:cNvSpPr/>
      </xdr:nvSpPr>
      <xdr:spPr>
        <a:xfrm>
          <a:off x="8615268" y="2078184"/>
          <a:ext cx="6678000" cy="229665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462647</xdr:colOff>
      <xdr:row>22</xdr:row>
      <xdr:rowOff>120526</xdr:rowOff>
    </xdr:from>
    <xdr:to>
      <xdr:col>19</xdr:col>
      <xdr:colOff>244075</xdr:colOff>
      <xdr:row>34</xdr:row>
      <xdr:rowOff>84526</xdr:rowOff>
    </xdr:to>
    <xdr:sp macro="" textlink="">
      <xdr:nvSpPr>
        <xdr:cNvPr id="40" name="Rectangle 39">
          <a:extLst>
            <a:ext uri="{FF2B5EF4-FFF2-40B4-BE49-F238E27FC236}">
              <a16:creationId xmlns:a16="http://schemas.microsoft.com/office/drawing/2014/main" id="{C3C0AD91-8011-F357-3470-397BEF9B32E3}"/>
            </a:ext>
          </a:extLst>
        </xdr:cNvPr>
        <xdr:cNvSpPr/>
      </xdr:nvSpPr>
      <xdr:spPr>
        <a:xfrm>
          <a:off x="6615019" y="4397057"/>
          <a:ext cx="4680000" cy="229665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54429</xdr:colOff>
      <xdr:row>22</xdr:row>
      <xdr:rowOff>120526</xdr:rowOff>
    </xdr:from>
    <xdr:to>
      <xdr:col>11</xdr:col>
      <xdr:colOff>448179</xdr:colOff>
      <xdr:row>34</xdr:row>
      <xdr:rowOff>84526</xdr:rowOff>
    </xdr:to>
    <xdr:sp macro="" textlink="">
      <xdr:nvSpPr>
        <xdr:cNvPr id="41" name="Rectangle 40">
          <a:extLst>
            <a:ext uri="{FF2B5EF4-FFF2-40B4-BE49-F238E27FC236}">
              <a16:creationId xmlns:a16="http://schemas.microsoft.com/office/drawing/2014/main" id="{E5B3BA0D-2128-3831-22E1-7CBC7F8231D6}"/>
            </a:ext>
          </a:extLst>
        </xdr:cNvPr>
        <xdr:cNvSpPr/>
      </xdr:nvSpPr>
      <xdr:spPr>
        <a:xfrm>
          <a:off x="1920551" y="4397057"/>
          <a:ext cx="4680000" cy="229665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258536</xdr:colOff>
      <xdr:row>22</xdr:row>
      <xdr:rowOff>120522</xdr:rowOff>
    </xdr:from>
    <xdr:to>
      <xdr:col>25</xdr:col>
      <xdr:colOff>544608</xdr:colOff>
      <xdr:row>34</xdr:row>
      <xdr:rowOff>84522</xdr:rowOff>
    </xdr:to>
    <xdr:sp macro="" textlink="">
      <xdr:nvSpPr>
        <xdr:cNvPr id="43" name="Rectangle 42">
          <a:extLst>
            <a:ext uri="{FF2B5EF4-FFF2-40B4-BE49-F238E27FC236}">
              <a16:creationId xmlns:a16="http://schemas.microsoft.com/office/drawing/2014/main" id="{DC90C612-5BF0-11DE-A8DA-1ED04D75EB29}"/>
            </a:ext>
          </a:extLst>
        </xdr:cNvPr>
        <xdr:cNvSpPr/>
      </xdr:nvSpPr>
      <xdr:spPr>
        <a:xfrm>
          <a:off x="11309480" y="4397053"/>
          <a:ext cx="3960000" cy="229665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68036</xdr:colOff>
      <xdr:row>22</xdr:row>
      <xdr:rowOff>136070</xdr:rowOff>
    </xdr:from>
    <xdr:to>
      <xdr:col>11</xdr:col>
      <xdr:colOff>108857</xdr:colOff>
      <xdr:row>34</xdr:row>
      <xdr:rowOff>95249</xdr:rowOff>
    </xdr:to>
    <xdr:graphicFrame macro="">
      <xdr:nvGraphicFramePr>
        <xdr:cNvPr id="44" name="Chart 43">
          <a:extLst>
            <a:ext uri="{FF2B5EF4-FFF2-40B4-BE49-F238E27FC236}">
              <a16:creationId xmlns:a16="http://schemas.microsoft.com/office/drawing/2014/main" id="{F69128A8-1033-4F56-8E55-FDEC524A1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166133</xdr:colOff>
      <xdr:row>11</xdr:row>
      <xdr:rowOff>68035</xdr:rowOff>
    </xdr:from>
    <xdr:to>
      <xdr:col>14</xdr:col>
      <xdr:colOff>585108</xdr:colOff>
      <xdr:row>22</xdr:row>
      <xdr:rowOff>149678</xdr:rowOff>
    </xdr:to>
    <xdr:graphicFrame macro="">
      <xdr:nvGraphicFramePr>
        <xdr:cNvPr id="45" name="Chart 44">
          <a:extLst>
            <a:ext uri="{FF2B5EF4-FFF2-40B4-BE49-F238E27FC236}">
              <a16:creationId xmlns:a16="http://schemas.microsoft.com/office/drawing/2014/main" id="{AFF6D8CA-2F8C-406D-92CB-D2B00F3C2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40821</xdr:colOff>
      <xdr:row>11</xdr:row>
      <xdr:rowOff>54429</xdr:rowOff>
    </xdr:from>
    <xdr:to>
      <xdr:col>25</xdr:col>
      <xdr:colOff>557893</xdr:colOff>
      <xdr:row>22</xdr:row>
      <xdr:rowOff>95250</xdr:rowOff>
    </xdr:to>
    <xdr:graphicFrame macro="">
      <xdr:nvGraphicFramePr>
        <xdr:cNvPr id="46" name="Chart 45">
          <a:extLst>
            <a:ext uri="{FF2B5EF4-FFF2-40B4-BE49-F238E27FC236}">
              <a16:creationId xmlns:a16="http://schemas.microsoft.com/office/drawing/2014/main" id="{B22D731D-F261-4DA0-BC13-F45D8D6B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503464</xdr:colOff>
      <xdr:row>22</xdr:row>
      <xdr:rowOff>81643</xdr:rowOff>
    </xdr:from>
    <xdr:to>
      <xdr:col>19</xdr:col>
      <xdr:colOff>149676</xdr:colOff>
      <xdr:row>34</xdr:row>
      <xdr:rowOff>136071</xdr:rowOff>
    </xdr:to>
    <xdr:graphicFrame macro="">
      <xdr:nvGraphicFramePr>
        <xdr:cNvPr id="47" name="Chart 46">
          <a:extLst>
            <a:ext uri="{FF2B5EF4-FFF2-40B4-BE49-F238E27FC236}">
              <a16:creationId xmlns:a16="http://schemas.microsoft.com/office/drawing/2014/main" id="{3B0079AB-CFE4-42EB-9AAF-89F6F13B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272142</xdr:colOff>
      <xdr:row>22</xdr:row>
      <xdr:rowOff>163285</xdr:rowOff>
    </xdr:from>
    <xdr:to>
      <xdr:col>25</xdr:col>
      <xdr:colOff>557893</xdr:colOff>
      <xdr:row>34</xdr:row>
      <xdr:rowOff>75773</xdr:rowOff>
    </xdr:to>
    <xdr:graphicFrame macro="">
      <xdr:nvGraphicFramePr>
        <xdr:cNvPr id="48" name="Chart 47">
          <a:extLst>
            <a:ext uri="{FF2B5EF4-FFF2-40B4-BE49-F238E27FC236}">
              <a16:creationId xmlns:a16="http://schemas.microsoft.com/office/drawing/2014/main" id="{A32FE6BA-EB73-4C93-921F-C032981B4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200024</xdr:colOff>
      <xdr:row>1889</xdr:row>
      <xdr:rowOff>174075</xdr:rowOff>
    </xdr:to>
    <xdr:sp macro="" textlink="">
      <xdr:nvSpPr>
        <xdr:cNvPr id="2" name="Rectangle 1">
          <a:extLst>
            <a:ext uri="{FF2B5EF4-FFF2-40B4-BE49-F238E27FC236}">
              <a16:creationId xmlns:a16="http://schemas.microsoft.com/office/drawing/2014/main" id="{8610CFD9-E703-446B-A777-684BDC0684DA}"/>
            </a:ext>
          </a:extLst>
        </xdr:cNvPr>
        <xdr:cNvSpPr/>
      </xdr:nvSpPr>
      <xdr:spPr>
        <a:xfrm>
          <a:off x="0" y="0"/>
          <a:ext cx="2028824" cy="360028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219075</xdr:colOff>
      <xdr:row>0</xdr:row>
      <xdr:rowOff>38100</xdr:rowOff>
    </xdr:from>
    <xdr:to>
      <xdr:col>2</xdr:col>
      <xdr:colOff>523901</xdr:colOff>
      <xdr:row>1</xdr:row>
      <xdr:rowOff>152426</xdr:rowOff>
    </xdr:to>
    <xdr:pic>
      <xdr:nvPicPr>
        <xdr:cNvPr id="4" name="Picture 3">
          <a:hlinkClick xmlns:r="http://schemas.openxmlformats.org/officeDocument/2006/relationships" r:id="rId1"/>
          <a:extLst>
            <a:ext uri="{FF2B5EF4-FFF2-40B4-BE49-F238E27FC236}">
              <a16:creationId xmlns:a16="http://schemas.microsoft.com/office/drawing/2014/main" id="{E262FD15-F2D0-0BB7-88BB-E9D784A9385D}"/>
            </a:ext>
          </a:extLst>
        </xdr:cNvPr>
        <xdr:cNvPicPr>
          <a:picLocks noChangeAspect="1"/>
        </xdr:cNvPicPr>
      </xdr:nvPicPr>
      <xdr:blipFill>
        <a:blip xmlns:r="http://schemas.openxmlformats.org/officeDocument/2006/relationships" r:embed="rId2"/>
        <a:stretch>
          <a:fillRect/>
        </a:stretch>
      </xdr:blipFill>
      <xdr:spPr>
        <a:xfrm>
          <a:off x="1438275" y="38100"/>
          <a:ext cx="304826" cy="304826"/>
        </a:xfrm>
        <a:prstGeom prst="rect">
          <a:avLst/>
        </a:prstGeom>
      </xdr:spPr>
    </xdr:pic>
    <xdr:clientData/>
  </xdr:twoCellAnchor>
  <xdr:twoCellAnchor editAs="oneCell">
    <xdr:from>
      <xdr:col>0</xdr:col>
      <xdr:colOff>361950</xdr:colOff>
      <xdr:row>0</xdr:row>
      <xdr:rowOff>9525</xdr:rowOff>
    </xdr:from>
    <xdr:to>
      <xdr:col>1</xdr:col>
      <xdr:colOff>221783</xdr:colOff>
      <xdr:row>2</xdr:row>
      <xdr:rowOff>95250</xdr:rowOff>
    </xdr:to>
    <xdr:pic>
      <xdr:nvPicPr>
        <xdr:cNvPr id="6" name="Picture 5">
          <a:hlinkClick xmlns:r="http://schemas.openxmlformats.org/officeDocument/2006/relationships" r:id="rId3"/>
          <a:extLst>
            <a:ext uri="{FF2B5EF4-FFF2-40B4-BE49-F238E27FC236}">
              <a16:creationId xmlns:a16="http://schemas.microsoft.com/office/drawing/2014/main" id="{86CFD135-363A-6C9E-1892-02063FD86252}"/>
            </a:ext>
          </a:extLst>
        </xdr:cNvPr>
        <xdr:cNvPicPr>
          <a:picLocks noChangeAspect="1"/>
        </xdr:cNvPicPr>
      </xdr:nvPicPr>
      <xdr:blipFill>
        <a:blip xmlns:r="http://schemas.openxmlformats.org/officeDocument/2006/relationships" r:embed="rId4"/>
        <a:stretch>
          <a:fillRect/>
        </a:stretch>
      </xdr:blipFill>
      <xdr:spPr>
        <a:xfrm>
          <a:off x="361950" y="9525"/>
          <a:ext cx="469433" cy="466725"/>
        </a:xfrm>
        <a:prstGeom prst="rect">
          <a:avLst/>
        </a:prstGeom>
      </xdr:spPr>
    </xdr:pic>
    <xdr:clientData/>
  </xdr:twoCellAnchor>
  <xdr:twoCellAnchor editAs="oneCell">
    <xdr:from>
      <xdr:col>0</xdr:col>
      <xdr:colOff>0</xdr:colOff>
      <xdr:row>0</xdr:row>
      <xdr:rowOff>0</xdr:rowOff>
    </xdr:from>
    <xdr:to>
      <xdr:col>0</xdr:col>
      <xdr:colOff>469433</xdr:colOff>
      <xdr:row>2</xdr:row>
      <xdr:rowOff>100626</xdr:rowOff>
    </xdr:to>
    <xdr:pic>
      <xdr:nvPicPr>
        <xdr:cNvPr id="9" name="Picture 8">
          <a:hlinkClick xmlns:r="http://schemas.openxmlformats.org/officeDocument/2006/relationships" r:id="rId5"/>
          <a:extLst>
            <a:ext uri="{FF2B5EF4-FFF2-40B4-BE49-F238E27FC236}">
              <a16:creationId xmlns:a16="http://schemas.microsoft.com/office/drawing/2014/main" id="{FFCC59D1-2930-397A-C5A3-335DC11815A3}"/>
            </a:ext>
          </a:extLst>
        </xdr:cNvPr>
        <xdr:cNvPicPr>
          <a:picLocks noChangeAspect="1"/>
        </xdr:cNvPicPr>
      </xdr:nvPicPr>
      <xdr:blipFill>
        <a:blip xmlns:r="http://schemas.openxmlformats.org/officeDocument/2006/relationships" r:embed="rId6"/>
        <a:stretch>
          <a:fillRect/>
        </a:stretch>
      </xdr:blipFill>
      <xdr:spPr>
        <a:xfrm>
          <a:off x="0" y="0"/>
          <a:ext cx="469433" cy="481626"/>
        </a:xfrm>
        <a:prstGeom prst="rect">
          <a:avLst/>
        </a:prstGeom>
      </xdr:spPr>
    </xdr:pic>
    <xdr:clientData/>
  </xdr:twoCellAnchor>
  <xdr:twoCellAnchor editAs="oneCell">
    <xdr:from>
      <xdr:col>0</xdr:col>
      <xdr:colOff>390525</xdr:colOff>
      <xdr:row>3</xdr:row>
      <xdr:rowOff>266700</xdr:rowOff>
    </xdr:from>
    <xdr:to>
      <xdr:col>1</xdr:col>
      <xdr:colOff>171103</xdr:colOff>
      <xdr:row>5</xdr:row>
      <xdr:rowOff>47278</xdr:rowOff>
    </xdr:to>
    <xdr:pic>
      <xdr:nvPicPr>
        <xdr:cNvPr id="10" name="Picture 9">
          <a:extLst>
            <a:ext uri="{FF2B5EF4-FFF2-40B4-BE49-F238E27FC236}">
              <a16:creationId xmlns:a16="http://schemas.microsoft.com/office/drawing/2014/main" id="{D79BE980-DBFE-9D91-1BDA-EA44794D55ED}"/>
            </a:ext>
          </a:extLst>
        </xdr:cNvPr>
        <xdr:cNvPicPr>
          <a:picLocks noChangeAspect="1"/>
        </xdr:cNvPicPr>
      </xdr:nvPicPr>
      <xdr:blipFill>
        <a:blip xmlns:r="http://schemas.openxmlformats.org/officeDocument/2006/relationships" r:embed="rId7"/>
        <a:stretch>
          <a:fillRect/>
        </a:stretch>
      </xdr:blipFill>
      <xdr:spPr>
        <a:xfrm>
          <a:off x="390525" y="838200"/>
          <a:ext cx="390178" cy="390178"/>
        </a:xfrm>
        <a:prstGeom prst="rect">
          <a:avLst/>
        </a:prstGeom>
      </xdr:spPr>
    </xdr:pic>
    <xdr:clientData/>
  </xdr:twoCellAnchor>
  <xdr:twoCellAnchor>
    <xdr:from>
      <xdr:col>0</xdr:col>
      <xdr:colOff>504825</xdr:colOff>
      <xdr:row>3</xdr:row>
      <xdr:rowOff>104774</xdr:rowOff>
    </xdr:from>
    <xdr:to>
      <xdr:col>3</xdr:col>
      <xdr:colOff>116025</xdr:colOff>
      <xdr:row>5</xdr:row>
      <xdr:rowOff>123825</xdr:rowOff>
    </xdr:to>
    <xdr:sp macro="" textlink="">
      <xdr:nvSpPr>
        <xdr:cNvPr id="14" name="Rectangle 13">
          <a:extLst>
            <a:ext uri="{FF2B5EF4-FFF2-40B4-BE49-F238E27FC236}">
              <a16:creationId xmlns:a16="http://schemas.microsoft.com/office/drawing/2014/main" id="{C5C8DC32-7A7A-266D-EB0E-740FCDE47B49}"/>
            </a:ext>
          </a:extLst>
        </xdr:cNvPr>
        <xdr:cNvSpPr/>
      </xdr:nvSpPr>
      <xdr:spPr>
        <a:xfrm>
          <a:off x="504825" y="676274"/>
          <a:ext cx="1440000" cy="4000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outerShdw blurRad="63500" dist="25400" dir="5400000" sy="-20000" rotWithShape="0">
                  <a:srgbClr val="000000">
                    <a:alpha val="25000"/>
                  </a:srgbClr>
                </a:outerShdw>
                <a:reflection blurRad="6350" stA="50000" endA="300" endPos="50000" dist="59944" dir="5400000" sy="-100000" algn="bl"/>
              </a:effectLst>
              <a:latin typeface="+mn-lt"/>
              <a:ea typeface="+mn-ea"/>
              <a:cs typeface="+mn-cs"/>
            </a:rPr>
            <a:t>Insight</a:t>
          </a:r>
          <a:endParaRPr lang="en-IN" sz="2000">
            <a:effectLst/>
          </a:endParaRPr>
        </a:p>
        <a:p>
          <a:pPr algn="ctr"/>
          <a:endParaRPr lang="en-IN" sz="2000"/>
        </a:p>
      </xdr:txBody>
    </xdr:sp>
    <xdr:clientData/>
  </xdr:twoCellAnchor>
  <xdr:twoCellAnchor>
    <xdr:from>
      <xdr:col>3</xdr:col>
      <xdr:colOff>238125</xdr:colOff>
      <xdr:row>0</xdr:row>
      <xdr:rowOff>38100</xdr:rowOff>
    </xdr:from>
    <xdr:to>
      <xdr:col>17</xdr:col>
      <xdr:colOff>266700</xdr:colOff>
      <xdr:row>18</xdr:row>
      <xdr:rowOff>76200</xdr:rowOff>
    </xdr:to>
    <xdr:sp macro="" textlink="">
      <xdr:nvSpPr>
        <xdr:cNvPr id="3" name="Rectangle 2">
          <a:extLst>
            <a:ext uri="{FF2B5EF4-FFF2-40B4-BE49-F238E27FC236}">
              <a16:creationId xmlns:a16="http://schemas.microsoft.com/office/drawing/2014/main" id="{E96E0FDC-387E-DD47-B2D8-326A6FAD7967}"/>
            </a:ext>
          </a:extLst>
        </xdr:cNvPr>
        <xdr:cNvSpPr/>
      </xdr:nvSpPr>
      <xdr:spPr>
        <a:xfrm>
          <a:off x="2066925" y="38100"/>
          <a:ext cx="8562975" cy="3924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u="sng">
              <a:solidFill>
                <a:schemeClr val="lt1"/>
              </a:solidFill>
              <a:effectLst/>
              <a:latin typeface="+mn-lt"/>
              <a:ea typeface="+mn-ea"/>
              <a:cs typeface="+mn-cs"/>
            </a:rPr>
            <a:t>Key Business Insights</a:t>
          </a:r>
        </a:p>
        <a:p>
          <a:pPr marL="342900" marR="0" lvl="0" indent="-34290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800">
              <a:effectLst/>
            </a:rPr>
            <a:t>North Region</a:t>
          </a:r>
          <a:r>
            <a:rPr lang="en-IN" sz="1800" baseline="0">
              <a:effectLst/>
            </a:rPr>
            <a:t> generated the Heighest Revenue.</a:t>
          </a:r>
        </a:p>
        <a:p>
          <a:pPr marL="342900" marR="0" lvl="0" indent="-34290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800" baseline="0">
              <a:effectLst/>
            </a:rPr>
            <a:t>Laptop category drives the majority of sales.</a:t>
          </a:r>
        </a:p>
        <a:p>
          <a:pPr marL="342900" marR="0" lvl="0" indent="-34290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800" baseline="0">
              <a:effectLst/>
            </a:rPr>
            <a:t>Sneha is the top performing salesperson.</a:t>
          </a:r>
          <a:endParaRPr lang="en-IN" sz="1800" b="1"/>
        </a:p>
        <a:p>
          <a:pPr marL="285750" indent="-285750">
            <a:buFont typeface="Arial" panose="020B0604020202020204" pitchFamily="34" charset="0"/>
            <a:buChar char="•"/>
          </a:pPr>
          <a:r>
            <a:rPr lang="en-IN" sz="1800"/>
            <a:t>Total revenue reached approximately ₹11 Cr, with a significant portion driven by top-performing products</a:t>
          </a:r>
        </a:p>
        <a:p>
          <a:pPr marL="285750" indent="-285750">
            <a:buFont typeface="Arial" panose="020B0604020202020204" pitchFamily="34" charset="0"/>
            <a:buChar char="•"/>
          </a:pPr>
          <a:r>
            <a:rPr lang="en-IN" sz="1800"/>
            <a:t>Sales are concentrated in specific regions, indicating strong regional performance differences</a:t>
          </a:r>
        </a:p>
        <a:p>
          <a:pPr marL="285750" indent="-285750">
            <a:buFont typeface="Arial" panose="020B0604020202020204" pitchFamily="34" charset="0"/>
            <a:buChar char="•"/>
          </a:pPr>
          <a:r>
            <a:rPr lang="en-IN" sz="1800"/>
            <a:t>The leading product category contributes the highest share of overall revenue</a:t>
          </a:r>
        </a:p>
        <a:p>
          <a:r>
            <a:rPr lang="en-IN" sz="1800"/>
            <a:t>       With 5594 units sold, the business maintains a high average revenue per unit</a:t>
          </a:r>
        </a:p>
        <a:p>
          <a:pPr marL="285750" indent="-285750">
            <a:buFont typeface="Arial" panose="020B0604020202020204" pitchFamily="34" charset="0"/>
            <a:buChar char="•"/>
          </a:pPr>
          <a:r>
            <a:rPr lang="en-IN" sz="1800"/>
            <a:t>Revenue trends show variability, indicating potential demand patterns</a:t>
          </a:r>
        </a:p>
        <a:p>
          <a:r>
            <a:rPr lang="en-IN" sz="1800"/>
            <a:t>       Underperforming segments highlight opportunities for targeted growth and  optimization.               </a:t>
          </a:r>
        </a:p>
        <a:p>
          <a:pPr marL="285750" indent="-285750">
            <a:buFont typeface="Arial" panose="020B0604020202020204" pitchFamily="34" charset="0"/>
            <a:buChar char="•"/>
          </a:pPr>
          <a:r>
            <a:rPr lang="en-IN" sz="1800"/>
            <a:t>The dashboard enables quick identification of key performance drivers and supports data-driven decision making</a:t>
          </a:r>
        </a:p>
        <a:p>
          <a:pPr marL="171450" indent="-171450" algn="l">
            <a:buFont typeface="Arial" panose="020B0604020202020204" pitchFamily="34" charset="0"/>
            <a:buChar char="•"/>
          </a:pP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381000</xdr:colOff>
      <xdr:row>1892</xdr:row>
      <xdr:rowOff>59775</xdr:rowOff>
    </xdr:to>
    <xdr:sp macro="" textlink="">
      <xdr:nvSpPr>
        <xdr:cNvPr id="2" name="Rectangle 1">
          <a:extLst>
            <a:ext uri="{FF2B5EF4-FFF2-40B4-BE49-F238E27FC236}">
              <a16:creationId xmlns:a16="http://schemas.microsoft.com/office/drawing/2014/main" id="{BE5947E3-5BE3-4795-A2F6-11223528AC5F}"/>
            </a:ext>
          </a:extLst>
        </xdr:cNvPr>
        <xdr:cNvSpPr/>
      </xdr:nvSpPr>
      <xdr:spPr>
        <a:xfrm>
          <a:off x="0" y="0"/>
          <a:ext cx="2209800" cy="360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361976</xdr:colOff>
      <xdr:row>0</xdr:row>
      <xdr:rowOff>47625</xdr:rowOff>
    </xdr:from>
    <xdr:to>
      <xdr:col>3</xdr:col>
      <xdr:colOff>171476</xdr:colOff>
      <xdr:row>2</xdr:row>
      <xdr:rowOff>85725</xdr:rowOff>
    </xdr:to>
    <xdr:pic>
      <xdr:nvPicPr>
        <xdr:cNvPr id="3" name="Picture 2">
          <a:hlinkClick xmlns:r="http://schemas.openxmlformats.org/officeDocument/2006/relationships" r:id="rId1"/>
          <a:extLst>
            <a:ext uri="{FF2B5EF4-FFF2-40B4-BE49-F238E27FC236}">
              <a16:creationId xmlns:a16="http://schemas.microsoft.com/office/drawing/2014/main" id="{F2E6BADD-C768-C331-714F-ECFBD1262D47}"/>
            </a:ext>
          </a:extLst>
        </xdr:cNvPr>
        <xdr:cNvPicPr>
          <a:picLocks noChangeAspect="1"/>
        </xdr:cNvPicPr>
      </xdr:nvPicPr>
      <xdr:blipFill>
        <a:blip xmlns:r="http://schemas.openxmlformats.org/officeDocument/2006/relationships" r:embed="rId2"/>
        <a:stretch>
          <a:fillRect/>
        </a:stretch>
      </xdr:blipFill>
      <xdr:spPr>
        <a:xfrm>
          <a:off x="1581176" y="47625"/>
          <a:ext cx="419100" cy="419100"/>
        </a:xfrm>
        <a:prstGeom prst="rect">
          <a:avLst/>
        </a:prstGeom>
      </xdr:spPr>
    </xdr:pic>
    <xdr:clientData/>
  </xdr:twoCellAnchor>
  <xdr:twoCellAnchor editAs="oneCell">
    <xdr:from>
      <xdr:col>0</xdr:col>
      <xdr:colOff>0</xdr:colOff>
      <xdr:row>0</xdr:row>
      <xdr:rowOff>0</xdr:rowOff>
    </xdr:from>
    <xdr:to>
      <xdr:col>0</xdr:col>
      <xdr:colOff>469433</xdr:colOff>
      <xdr:row>2</xdr:row>
      <xdr:rowOff>100626</xdr:rowOff>
    </xdr:to>
    <xdr:pic>
      <xdr:nvPicPr>
        <xdr:cNvPr id="6" name="Picture 5">
          <a:hlinkClick xmlns:r="http://schemas.openxmlformats.org/officeDocument/2006/relationships" r:id="rId3"/>
          <a:extLst>
            <a:ext uri="{FF2B5EF4-FFF2-40B4-BE49-F238E27FC236}">
              <a16:creationId xmlns:a16="http://schemas.microsoft.com/office/drawing/2014/main" id="{15148AE8-C01D-F349-4014-F2D14DB80DFE}"/>
            </a:ext>
          </a:extLst>
        </xdr:cNvPr>
        <xdr:cNvPicPr>
          <a:picLocks noChangeAspect="1"/>
        </xdr:cNvPicPr>
      </xdr:nvPicPr>
      <xdr:blipFill>
        <a:blip xmlns:r="http://schemas.openxmlformats.org/officeDocument/2006/relationships" r:embed="rId4"/>
        <a:stretch>
          <a:fillRect/>
        </a:stretch>
      </xdr:blipFill>
      <xdr:spPr>
        <a:xfrm>
          <a:off x="0" y="0"/>
          <a:ext cx="469433" cy="481626"/>
        </a:xfrm>
        <a:prstGeom prst="rect">
          <a:avLst/>
        </a:prstGeom>
      </xdr:spPr>
    </xdr:pic>
    <xdr:clientData/>
  </xdr:twoCellAnchor>
  <xdr:twoCellAnchor editAs="oneCell">
    <xdr:from>
      <xdr:col>0</xdr:col>
      <xdr:colOff>38100</xdr:colOff>
      <xdr:row>4</xdr:row>
      <xdr:rowOff>9524</xdr:rowOff>
    </xdr:from>
    <xdr:to>
      <xdr:col>1</xdr:col>
      <xdr:colOff>47625</xdr:colOff>
      <xdr:row>7</xdr:row>
      <xdr:rowOff>57149</xdr:rowOff>
    </xdr:to>
    <xdr:pic>
      <xdr:nvPicPr>
        <xdr:cNvPr id="8" name="Graphic 7" descr="Handshake with solid fill">
          <a:extLst>
            <a:ext uri="{FF2B5EF4-FFF2-40B4-BE49-F238E27FC236}">
              <a16:creationId xmlns:a16="http://schemas.microsoft.com/office/drawing/2014/main" id="{9B6A665E-5F8F-A88F-C913-742C9B3053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100" y="771524"/>
          <a:ext cx="619125" cy="619125"/>
        </a:xfrm>
        <a:prstGeom prst="rect">
          <a:avLst/>
        </a:prstGeom>
      </xdr:spPr>
    </xdr:pic>
    <xdr:clientData/>
  </xdr:twoCellAnchor>
  <xdr:twoCellAnchor>
    <xdr:from>
      <xdr:col>0</xdr:col>
      <xdr:colOff>590551</xdr:colOff>
      <xdr:row>4</xdr:row>
      <xdr:rowOff>76200</xdr:rowOff>
    </xdr:from>
    <xdr:to>
      <xdr:col>3</xdr:col>
      <xdr:colOff>314325</xdr:colOff>
      <xdr:row>7</xdr:row>
      <xdr:rowOff>0</xdr:rowOff>
    </xdr:to>
    <xdr:sp macro="" textlink="">
      <xdr:nvSpPr>
        <xdr:cNvPr id="9" name="Rectangle 8">
          <a:extLst>
            <a:ext uri="{FF2B5EF4-FFF2-40B4-BE49-F238E27FC236}">
              <a16:creationId xmlns:a16="http://schemas.microsoft.com/office/drawing/2014/main" id="{F2E18256-DEDF-2EFD-2388-54CC28CB1930}"/>
            </a:ext>
          </a:extLst>
        </xdr:cNvPr>
        <xdr:cNvSpPr/>
      </xdr:nvSpPr>
      <xdr:spPr>
        <a:xfrm>
          <a:off x="590551" y="838200"/>
          <a:ext cx="1552574" cy="4953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Suggestions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11342593" backgroundQuery="1" createdVersion="8" refreshedVersion="8" minRefreshableVersion="3" recordCount="0" supportSubquery="1" supportAdvancedDrill="1" xr:uid="{AC779285-3A60-42AC-87AF-DDBCCD62582F}">
  <cacheSource type="external" connectionId="1"/>
  <cacheFields count="2">
    <cacheField name="[Measures].[Min of Revenue]" caption="Min of Revenue" numFmtId="0" hierarchy="18" level="32767"/>
    <cacheField name="[Table1].[Sales person].[Sales person]" caption="Sales person" numFmtId="0" hierarchy="4"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 person]" caption="Sales person" attribute="1" defaultMemberUniqueName="[Table1].[Sales person].[All]" allUniqueName="[Table1].[Sales pers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88773145" backgroundQuery="1" createdVersion="8" refreshedVersion="8" minRefreshableVersion="3" recordCount="0" supportSubquery="1" supportAdvancedDrill="1" xr:uid="{85A84684-8A7B-47EF-83B5-FC0098D1BD12}">
  <cacheSource type="external" connectionId="1"/>
  <cacheFields count="2">
    <cacheField name="[Measures].[Sum of Revenue]" caption="Sum of Revenue" numFmtId="0" hierarchy="13" level="32767"/>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89351853" backgroundQuery="1" createdVersion="8" refreshedVersion="8" minRefreshableVersion="3" recordCount="0" supportSubquery="1" supportAdvancedDrill="1" xr:uid="{C22A607D-2A2B-4B19-A289-CFCB2848B1B9}">
  <cacheSource type="external" connectionId="1"/>
  <cacheFields count="2">
    <cacheField name="[Measures].[Sum of Revenue]" caption="Sum of Revenue" numFmtId="0" hierarchy="13" level="32767"/>
    <cacheField name="[Table1].[Region].[Region]" caption="Region" numFmtId="0" hierarchy="3" level="1">
      <sharedItems count="4">
        <s v="East"/>
        <s v="North"/>
        <s v="South"/>
        <s v="West"/>
      </sharedItems>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89814815" backgroundQuery="1" createdVersion="8" refreshedVersion="8" minRefreshableVersion="3" recordCount="0" supportSubquery="1" supportAdvancedDrill="1" xr:uid="{F3C6AB84-35DF-4633-BE15-E597CD1943BF}">
  <cacheSource type="external" connectionId="1"/>
  <cacheFields count="3">
    <cacheField name="[Measures].[Sum of Revenue]" caption="Sum of Revenue" numFmtId="0" hierarchy="13" level="32767"/>
    <cacheField name="[Table1].[Sales person].[Sales person]" caption="Sales person" numFmtId="0" hierarchy="4" level="1">
      <sharedItems count="8">
        <s v="Amit"/>
        <s v="Arjun"/>
        <s v="Karan"/>
        <s v="Neha"/>
        <s v="Priya"/>
        <s v="Rahul"/>
        <s v="Rohit"/>
        <s v="Sneha"/>
      </sharedItems>
    </cacheField>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person]" caption="Sales person" attribute="1" defaultMemberUniqueName="[Table1].[Sales person].[All]" allUniqueName="[Table1].[Sales person].[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0740739" backgroundQuery="1" createdVersion="8" refreshedVersion="8" minRefreshableVersion="3" recordCount="0" supportSubquery="1" supportAdvancedDrill="1" xr:uid="{BE954573-98BC-4EFE-8543-E720DFC97889}">
  <cacheSource type="external" connectionId="1"/>
  <cacheFields count="3">
    <cacheField name="[Measures].[Sum of Revenue]" caption="Sum of Revenue" numFmtId="0" hierarchy="13" level="32767"/>
    <cacheField name="[Table1].[Product].[Product]" caption="Product" numFmtId="0" hierarchy="5" level="1">
      <sharedItems count="5">
        <s v="Keyboard"/>
        <s v="Laptop"/>
        <s v="Monitor"/>
        <s v="Mouse"/>
        <s v="Tablet"/>
      </sharedItems>
    </cacheField>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1203701" backgroundQuery="1" createdVersion="8" refreshedVersion="8" minRefreshableVersion="3" recordCount="0" supportSubquery="1" supportAdvancedDrill="1" xr:uid="{6AD23F07-F66F-4B30-BE01-A4B4F5AC96B3}">
  <cacheSource type="external" connectionId="1"/>
  <cacheFields count="3">
    <cacheField name="[Measures].[Sum of Revenue]" caption="Sum of Revenue" numFmtId="0" hierarchy="13" level="32767"/>
    <cacheField name="[Table1].[Month].[Month]" caption="Month" numFmtId="0" hierarchy="2" level="1">
      <sharedItems count="6">
        <s v="Apr"/>
        <s v="Feb"/>
        <s v="Jan"/>
        <s v="Jun"/>
        <s v="Mar"/>
        <s v="May"/>
      </sharedItems>
    </cacheField>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166667" backgroundQuery="1" createdVersion="8" refreshedVersion="8" minRefreshableVersion="3" recordCount="0" supportSubquery="1" supportAdvancedDrill="1" xr:uid="{16D611A4-5A6B-4530-ACC1-2589AC413702}">
  <cacheSource type="external" connectionId="1"/>
  <cacheFields count="3">
    <cacheField name="[Measures].[Sum of Revenue]" caption="Sum of Revenue" numFmtId="0" hierarchy="13" level="32767"/>
    <cacheField name="[Table1].[Category].[Category]" caption="Category" numFmtId="0" hierarchy="10" level="1">
      <sharedItems count="3">
        <s v="High"/>
        <s v="Low"/>
        <s v="Medium"/>
      </sharedItems>
    </cacheField>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224537" backgroundQuery="1" createdVersion="8" refreshedVersion="8" minRefreshableVersion="3" recordCount="0" supportSubquery="1" supportAdvancedDrill="1" xr:uid="{4CDC9F10-0693-4F29-B520-A7921DB61C95}">
  <cacheSource type="external" connectionId="1"/>
  <cacheFields count="2">
    <cacheField name="[Measures].[Sum of Profit]" caption="Sum of Profit" numFmtId="0" hierarchy="14" level="32767"/>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2592594" backgroundQuery="1" createdVersion="8" refreshedVersion="8" minRefreshableVersion="3" recordCount="0" supportSubquery="1" supportAdvancedDrill="1" xr:uid="{1DA11D0D-5D52-4154-A4CE-9C2353AEE69C}">
  <cacheSource type="external" connectionId="1"/>
  <cacheFields count="2">
    <cacheField name="[Measures].[Sum of Units]" caption="Sum of Units" numFmtId="0" hierarchy="15" level="32767"/>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2939817" backgroundQuery="1" createdVersion="8" refreshedVersion="8" minRefreshableVersion="3" recordCount="0" supportSubquery="1" supportAdvancedDrill="1" xr:uid="{92A3F299-C75E-44A3-9235-3B2BF0DEA172}">
  <cacheSource type="external" connectionId="1"/>
  <cacheFields count="2">
    <cacheField name="[Measures].[Average of Revenue]" caption="Average of Revenue" numFmtId="0" hierarchy="16" level="32767"/>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6.941293402779" backgroundQuery="1" createdVersion="8" refreshedVersion="8" minRefreshableVersion="3" recordCount="0" supportSubquery="1" supportAdvancedDrill="1" xr:uid="{454A6F5D-6919-4AE5-B72E-2DC5B8DC2A7C}">
  <cacheSource type="external" connectionId="1"/>
  <cacheFields count="2">
    <cacheField name="[Measures].[Max of Revenue]" caption="Max of Revenue" numFmtId="0" hierarchy="17" level="32767"/>
    <cacheField name="[Table1].[Region].[Region]" caption="Region" numFmtId="0" hierarchy="3" level="1">
      <sharedItems containsSemiMixedTypes="0" containsNonDate="0" containsString="0"/>
    </cacheField>
  </cacheFields>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2.821207407411" backgroundQuery="1" createdVersion="3" refreshedVersion="8" minRefreshableVersion="3" recordCount="0" supportSubquery="1" supportAdvancedDrill="1" xr:uid="{3192DE43-FB31-469F-9A76-2679AD28DF1B}">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ales person]" caption="Sales person" attribute="1" defaultMemberUniqueName="[Table1].[Sales person].[All]" allUniqueName="[Table1].[Sales pers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caption="Units" attribute="1" defaultMemberUniqueName="[Table1].[Units].[All]" allUniqueName="[Table1].[Units].[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8"/>
        </ext>
      </extLst>
    </cacheHierarchy>
    <cacheHierarchy uniqueName="[Measures].[Max of Revenue]" caption="Max of Revenue" measure="1" displayFolder="" measureGroup="Table1" count="0" hidden="1">
      <extLst>
        <ext xmlns:x15="http://schemas.microsoft.com/office/spreadsheetml/2010/11/main" uri="{B97F6D7D-B522-45F9-BDA1-12C45D357490}">
          <x15:cacheHierarchy aggregatedColumn="8"/>
        </ext>
      </extLst>
    </cacheHierarchy>
    <cacheHierarchy uniqueName="[Measures].[Min of Revenue]" caption="Min of Revenue" measure="1" displayFolder="" measureGroup="Table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20480616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10614F-83B3-4F33-8A4D-D71AE934770A}" name="PivotTable11" cacheId="3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 Person">
  <location ref="P14:Q23"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Total Sale" fld="0" baseField="0" baseItem="0" numFmtId="164"/>
  </dataFields>
  <formats count="1">
    <format dxfId="40">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509952-9635-4917-85E7-EF094FB0A262}" name="PivotTable7" cacheId="3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25:D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 fld="0" subtotal="average" baseField="0" baseItem="0" numFmtId="164"/>
  </dataFields>
  <formats count="1">
    <format dxfId="10">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caption="Units Solds"/>
    <pivotHierarchy dragToData="1" caption="Average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7E7C28-52FF-4652-AB07-F7D5A1F8FA06}" name="PivotTable2" cacheId="36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14:D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1">
    <format dxfId="41">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rofit"/>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6024EA-705B-41B6-94E1-BCCC315857C2}" name="PivotTable8" cacheId="37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30:D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Revenue" fld="0" subtotal="max" baseField="0" baseItem="0" numFmtId="164"/>
  </dataFields>
  <formats count="1">
    <format dxfId="42">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caption="Units Solds"/>
    <pivotHierarchy dragToData="1"/>
    <pivotHierarchy dragToData="1" caption="Max.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CAAF65-F303-4210-B58F-A7EEBCEFADB5}" name="PivotTable9" cacheId="34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35:D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in. Revenue" fld="0" subtotal="min" baseField="0" baseItem="0" numFmtId="164"/>
  </dataFields>
  <formats count="1">
    <format dxfId="43">
      <pivotArea outline="0" collapsedLevelsAreSubtotals="1" fieldPosition="0"/>
    </format>
  </formats>
  <pivotHierarchies count="1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caption="Units Solds"/>
    <pivotHierarchy dragToData="1"/>
    <pivotHierarchy dragToData="1"/>
    <pivotHierarchy dragToData="1" caption="Min.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C36C8A-3CE7-413B-B60A-CC95F2DE5976}" name="PivotTable3" cacheId="36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20:D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Units Solds" fld="0" baseField="0" baseItem="0"/>
  </dataFields>
  <formats count="1">
    <format dxfId="44">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caption="Units Sold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D80889-A3FD-4722-89FA-C083AFA7D189}" name="PivotTable13" cacheId="3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Months">
  <location ref="V14:W2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Sale" fld="0" baseField="0" baseItem="0" numFmtId="164"/>
  </dataFields>
  <formats count="1">
    <format dxfId="45">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DB1170-F278-4276-87BA-E92C77831A54}" name="PivotTable10" cacheId="3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egion">
  <location ref="L14:M1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Sale" fld="0" baseField="0" baseItem="0" numFmtId="164"/>
  </dataFields>
  <formats count="1">
    <format dxfId="46">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539E2E-94BA-4E42-B3A6-613E70AB3A91}" name="PivotTable12" cacheId="3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location ref="S14:T2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 fld="0" baseField="0" baseItem="0" numFmtId="164"/>
  </dataFields>
  <formats count="1">
    <format dxfId="47">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7562FF-5F69-4C20-B81D-CC4D8880924F}" name="PivotTable14" cacheId="3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tegory">
  <location ref="Y14:Z1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Sale" fld="0" baseField="0" baseItem="0" numFmtId="164"/>
  </dataFields>
  <formats count="1">
    <format dxfId="48">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70D594-CAAF-423E-8181-668A4B7A1440}" name="PivotTable1" cacheId="34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1">
    <format dxfId="49">
      <pivotArea outline="0" collapsedLevelsAreSubtotals="1" fieldPosition="0"/>
    </format>
  </formats>
  <pivotHierarchies count="19">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ates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9F6095-1F75-49F7-9AFB-F1315AB91145}" sourceName="[Table1].[Month]">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8"/>
    <pivotTable tabId="4" name="PivotTable9"/>
  </pivotTables>
  <data>
    <olap pivotCacheId="2048061603">
      <levels count="2">
        <level uniqueName="[Table1].[Month].[(All)]" sourceCaption="(All)" count="0"/>
        <level uniqueName="[Table1].[Month].[Month]" sourceCaption="Month" count="6">
          <ranges>
            <range startItem="0">
              <i n="[Table1].[Month].&amp;[Apr]" c="Apr"/>
              <i n="[Table1].[Month].&amp;[Feb]" c="Feb"/>
              <i n="[Table1].[Month].&amp;[Jan]" c="Jan"/>
              <i n="[Table1].[Month].&amp;[Jun]" c="Jun"/>
              <i n="[Table1].[Month].&amp;[Mar]" c="Mar"/>
              <i n="[Table1].[Month].&amp;[May]" c="May"/>
            </range>
          </ranges>
        </level>
      </levels>
      <selections count="1">
        <selection n="[Table1].[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37B06BA-3701-4D0C-9230-42809EC88FD4}" sourceName="[Table1].[Product]">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s>
  <data>
    <olap pivotCacheId="2048061603">
      <levels count="2">
        <level uniqueName="[Table1].[Product].[(All)]" sourceCaption="(All)" count="0"/>
        <level uniqueName="[Table1].[Product].[Product]" sourceCaption="Product" count="5">
          <ranges>
            <range startItem="0">
              <i n="[Table1].[Product].&amp;[Keyboard]" c="Keyboard"/>
              <i n="[Table1].[Product].&amp;[Laptop]" c="Laptop"/>
              <i n="[Table1].[Product].&amp;[Monitor]" c="Monitor"/>
              <i n="[Table1].[Product].&amp;[Mouse]" c="Mouse"/>
              <i n="[Table1].[Product].&amp;[Tablet]" c="Tablet"/>
            </range>
          </ranges>
        </level>
      </levels>
      <selections count="1">
        <selection n="[Table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238EA0-DAD5-4108-9F93-9804020B1041}" sourceName="[Table1].[Region]">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8"/>
  </pivotTables>
  <data>
    <olap pivotCacheId="2048061603">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ADBDC9C-7A3B-46A3-B837-5B19B03245BF}" sourceName="[Table1].[Sales person]">
  <pivotTables>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8"/>
    <pivotTable tabId="4" name="PivotTable9"/>
  </pivotTables>
  <data>
    <olap pivotCacheId="2048061603">
      <levels count="2">
        <level uniqueName="[Table1].[Sales person].[(All)]" sourceCaption="(All)" count="0"/>
        <level uniqueName="[Table1].[Sales person].[Sales person]" sourceCaption="Sales person" count="8">
          <ranges>
            <range startItem="0">
              <i n="[Table1].[Sales person].&amp;[Amit]" c="Amit"/>
              <i n="[Table1].[Sales person].&amp;[Arjun]" c="Arjun"/>
              <i n="[Table1].[Sales person].&amp;[Karan]" c="Karan"/>
              <i n="[Table1].[Sales person].&amp;[Neha]" c="Neha"/>
              <i n="[Table1].[Sales person].&amp;[Priya]" c="Priya"/>
              <i n="[Table1].[Sales person].&amp;[Rahul]" c="Rahul"/>
              <i n="[Table1].[Sales person].&amp;[Rohit]" c="Rohit"/>
              <i n="[Table1].[Sales person].&amp;[Sneha]" c="Sneha"/>
            </range>
          </ranges>
        </level>
      </levels>
      <selections count="1">
        <selection n="[Table1].[Sales 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8BDD374-9054-4612-BF9D-7FE4E79FF116}" cache="Slicer_Month" caption="Month" columnCount="2" showCaption="0" level="1" rowHeight="257175"/>
  <slicer name="Product" xr10:uid="{38B9FEEB-C043-4227-B67F-2777062D2453}" cache="Slicer_Product" caption="Product" columnCount="3" showCaption="0" level="1" rowHeight="257175"/>
  <slicer name="Region" xr10:uid="{ADDF1D0E-5574-408D-BEE2-D0FA599ACBC5}" cache="Slicer_Region" caption="Region" columnCount="3" showCaption="0" level="1" rowHeight="257175"/>
  <slicer name="Sales person" xr10:uid="{92CF8FED-405E-40EB-B80E-46A533D2C707}" cache="Slicer_Sales_person" caption="Sales person" columnCount="3" showCaption="0"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CD39CB7-715E-4784-A4D7-CEF5EDAA3069}" cache="Slicer_Product" caption="Product" columnCount="2" showCaption="0" level="1" rowHeight="257175"/>
  <slicer name="Region 1" xr10:uid="{7DEE018B-BDA6-4298-9E6D-48375E628BB8}" cache="Slicer_Region" caption="Region" columnCount="2" showCaption="0" level="1" rowHeight="257175"/>
  <slicer name="Sales person 1" xr10:uid="{2978B4F0-D850-41AC-884B-F484A8CB5D23}" cache="Slicer_Sales_person" caption="Sales person" columnCount="2" showCaption="0"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A8A5EA-0A7E-43D3-BE21-94713BFB90D6}" name="Table1" displayName="Table1" ref="D1:N1001" totalsRowShown="0" headerRowDxfId="54">
  <autoFilter ref="D1:N1001" xr:uid="{F8A8A5EA-0A7E-43D3-BE21-94713BFB90D6}"/>
  <tableColumns count="11">
    <tableColumn id="1" xr3:uid="{F0A10B4F-9404-4585-940C-FE043AE10260}" name="Order ID"/>
    <tableColumn id="2" xr3:uid="{795A0E4D-CAFA-480F-ADCE-766128FFA89F}" name="Date" dataDxfId="53"/>
    <tableColumn id="3" xr3:uid="{512C32AA-388D-46AA-B9F1-43D631763D4D}" name="Month"/>
    <tableColumn id="4" xr3:uid="{DAB1F311-1C11-4DC3-9D1A-0A59298B2F8B}" name="Region"/>
    <tableColumn id="5" xr3:uid="{71C77DA3-30B4-40BC-AC2C-D34BCEDE4544}" name="Sales person"/>
    <tableColumn id="6" xr3:uid="{EF9A5B8E-EC65-4769-8B50-FAC5628CC268}" name="Product"/>
    <tableColumn id="7" xr3:uid="{58F15074-E11A-41F8-89DD-E0F462E674DA}" name="Units"/>
    <tableColumn id="8" xr3:uid="{AFEBADB7-403E-47EB-9914-BD42DD5D44CF}" name="Unit Price" dataDxfId="52"/>
    <tableColumn id="9" xr3:uid="{85B076C3-7427-48B1-93DE-9028B0B3D5A5}" name="Revenue" dataDxfId="51">
      <calculatedColumnFormula>Table1[[#This Row],[Unit Price]]*Table1[[#This Row],[Units]]</calculatedColumnFormula>
    </tableColumn>
    <tableColumn id="10" xr3:uid="{09A29007-56AF-45E3-898F-C2832B561AC0}" name="Profit" dataDxfId="50"/>
    <tableColumn id="11" xr3:uid="{A883277D-1B23-436D-BCC5-BDD654DF13D6}"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7A33-A22D-4310-B842-CDE207391DC5}">
  <dimension ref="A1"/>
  <sheetViews>
    <sheetView showGridLines="0" showRowColHeaders="0" workbookViewId="0"/>
  </sheetViews>
  <sheetFormatPr defaultRowHeight="15" x14ac:dyDescent="0.25"/>
  <cols>
    <col min="1" max="16384" width="9.140625" style="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96E4-C5C3-4021-936E-8AE9CDDB5B59}">
  <dimension ref="D1:N1001"/>
  <sheetViews>
    <sheetView workbookViewId="0"/>
  </sheetViews>
  <sheetFormatPr defaultRowHeight="15" x14ac:dyDescent="0.25"/>
  <cols>
    <col min="4" max="4" width="9.7109375" customWidth="1"/>
    <col min="5" max="5" width="10.42578125" bestFit="1" customWidth="1"/>
    <col min="6" max="6" width="11" customWidth="1"/>
    <col min="7" max="7" width="11.7109375" customWidth="1"/>
    <col min="8" max="8" width="14" customWidth="1"/>
    <col min="9" max="9" width="12.85546875" customWidth="1"/>
    <col min="10" max="10" width="9.7109375" customWidth="1"/>
    <col min="11" max="11" width="11.85546875" style="1" customWidth="1"/>
    <col min="12" max="12" width="14" style="1" customWidth="1"/>
    <col min="13" max="13" width="9.85546875" style="1" customWidth="1"/>
    <col min="14" max="14" width="14.28515625" customWidth="1"/>
  </cols>
  <sheetData>
    <row r="1" spans="4:14" s="2" customFormat="1" ht="42" x14ac:dyDescent="0.25">
      <c r="D1" s="5" t="s">
        <v>0</v>
      </c>
      <c r="E1" s="6" t="s">
        <v>1</v>
      </c>
      <c r="F1" s="6" t="s">
        <v>2</v>
      </c>
      <c r="G1" s="6" t="s">
        <v>3</v>
      </c>
      <c r="H1" s="5" t="s">
        <v>36</v>
      </c>
      <c r="I1" s="6" t="s">
        <v>4</v>
      </c>
      <c r="J1" s="6" t="s">
        <v>5</v>
      </c>
      <c r="K1" s="7" t="s">
        <v>6</v>
      </c>
      <c r="L1" s="8" t="s">
        <v>7</v>
      </c>
      <c r="M1" s="8" t="s">
        <v>8</v>
      </c>
      <c r="N1" s="6" t="s">
        <v>9</v>
      </c>
    </row>
    <row r="2" spans="4:14" x14ac:dyDescent="0.25">
      <c r="D2">
        <v>1001</v>
      </c>
      <c r="E2" s="4">
        <v>45676</v>
      </c>
      <c r="F2" t="s">
        <v>10</v>
      </c>
      <c r="G2" t="s">
        <v>11</v>
      </c>
      <c r="H2" t="s">
        <v>12</v>
      </c>
      <c r="I2" t="s">
        <v>13</v>
      </c>
      <c r="J2">
        <v>7</v>
      </c>
      <c r="K2" s="1">
        <v>800</v>
      </c>
      <c r="L2" s="1">
        <f>Table1[[#This Row],[Unit Price]]*Table1[[#This Row],[Units]]</f>
        <v>5600</v>
      </c>
      <c r="M2" s="1">
        <v>1016</v>
      </c>
      <c r="N2" t="s">
        <v>14</v>
      </c>
    </row>
    <row r="3" spans="4:14" x14ac:dyDescent="0.25">
      <c r="D3">
        <v>1002</v>
      </c>
      <c r="E3" s="4">
        <v>45793</v>
      </c>
      <c r="F3" t="s">
        <v>15</v>
      </c>
      <c r="G3" t="s">
        <v>16</v>
      </c>
      <c r="H3" t="s">
        <v>17</v>
      </c>
      <c r="I3" t="s">
        <v>18</v>
      </c>
      <c r="J3">
        <v>6</v>
      </c>
      <c r="K3" s="1">
        <v>60000</v>
      </c>
      <c r="L3" s="1">
        <f>Table1[[#This Row],[Unit Price]]*Table1[[#This Row],[Units]]</f>
        <v>360000</v>
      </c>
      <c r="M3" s="1">
        <v>106898</v>
      </c>
      <c r="N3" t="s">
        <v>19</v>
      </c>
    </row>
    <row r="4" spans="4:14" x14ac:dyDescent="0.25">
      <c r="D4">
        <v>1003</v>
      </c>
      <c r="E4" s="4">
        <v>45765</v>
      </c>
      <c r="F4" t="s">
        <v>20</v>
      </c>
      <c r="G4" t="s">
        <v>11</v>
      </c>
      <c r="H4" t="s">
        <v>21</v>
      </c>
      <c r="I4" t="s">
        <v>22</v>
      </c>
      <c r="J4">
        <v>3</v>
      </c>
      <c r="K4" s="1">
        <v>15000</v>
      </c>
      <c r="L4" s="1">
        <f>Table1[[#This Row],[Unit Price]]*Table1[[#This Row],[Units]]</f>
        <v>45000</v>
      </c>
      <c r="M4" s="1">
        <v>13549</v>
      </c>
      <c r="N4" t="s">
        <v>14</v>
      </c>
    </row>
    <row r="5" spans="4:14" x14ac:dyDescent="0.25">
      <c r="D5">
        <v>1004</v>
      </c>
      <c r="E5" s="4">
        <v>45746</v>
      </c>
      <c r="F5" t="s">
        <v>23</v>
      </c>
      <c r="G5" t="s">
        <v>24</v>
      </c>
      <c r="H5" t="s">
        <v>25</v>
      </c>
      <c r="I5" t="s">
        <v>22</v>
      </c>
      <c r="J5">
        <v>10</v>
      </c>
      <c r="K5" s="1">
        <v>15000</v>
      </c>
      <c r="L5" s="1">
        <f>Table1[[#This Row],[Unit Price]]*Table1[[#This Row],[Units]]</f>
        <v>150000</v>
      </c>
      <c r="M5" s="1">
        <v>27854</v>
      </c>
      <c r="N5" t="s">
        <v>26</v>
      </c>
    </row>
    <row r="6" spans="4:14" x14ac:dyDescent="0.25">
      <c r="D6">
        <v>1005</v>
      </c>
      <c r="E6" s="4">
        <v>45771</v>
      </c>
      <c r="F6" t="s">
        <v>20</v>
      </c>
      <c r="G6" t="s">
        <v>11</v>
      </c>
      <c r="H6" t="s">
        <v>17</v>
      </c>
      <c r="I6" t="s">
        <v>22</v>
      </c>
      <c r="J6">
        <v>8</v>
      </c>
      <c r="K6" s="1">
        <v>15000</v>
      </c>
      <c r="L6" s="1">
        <f>Table1[[#This Row],[Unit Price]]*Table1[[#This Row],[Units]]</f>
        <v>120000</v>
      </c>
      <c r="M6" s="1">
        <v>41373</v>
      </c>
      <c r="N6" t="s">
        <v>26</v>
      </c>
    </row>
    <row r="7" spans="4:14" x14ac:dyDescent="0.25">
      <c r="D7">
        <v>1006</v>
      </c>
      <c r="E7" s="4">
        <v>45817</v>
      </c>
      <c r="F7" t="s">
        <v>27</v>
      </c>
      <c r="G7" t="s">
        <v>16</v>
      </c>
      <c r="H7" t="s">
        <v>21</v>
      </c>
      <c r="I7" t="s">
        <v>28</v>
      </c>
      <c r="J7">
        <v>10</v>
      </c>
      <c r="K7" s="1">
        <v>2000</v>
      </c>
      <c r="L7" s="1">
        <f>Table1[[#This Row],[Unit Price]]*Table1[[#This Row],[Units]]</f>
        <v>20000</v>
      </c>
      <c r="M7" s="1">
        <v>4260</v>
      </c>
      <c r="N7" t="s">
        <v>14</v>
      </c>
    </row>
    <row r="8" spans="4:14" ht="15.75" customHeight="1" x14ac:dyDescent="0.25">
      <c r="D8">
        <v>1007</v>
      </c>
      <c r="E8" s="4">
        <v>45744</v>
      </c>
      <c r="F8" t="s">
        <v>23</v>
      </c>
      <c r="G8" t="s">
        <v>16</v>
      </c>
      <c r="H8" t="s">
        <v>25</v>
      </c>
      <c r="I8" t="s">
        <v>22</v>
      </c>
      <c r="J8">
        <v>8</v>
      </c>
      <c r="K8" s="1">
        <v>15000</v>
      </c>
      <c r="L8" s="1">
        <f>Table1[[#This Row],[Unit Price]]*Table1[[#This Row],[Units]]</f>
        <v>120000</v>
      </c>
      <c r="M8" s="1">
        <v>27926</v>
      </c>
      <c r="N8" t="s">
        <v>26</v>
      </c>
    </row>
    <row r="9" spans="4:14" x14ac:dyDescent="0.25">
      <c r="D9">
        <v>1008</v>
      </c>
      <c r="E9" s="4">
        <v>45798</v>
      </c>
      <c r="F9" t="s">
        <v>15</v>
      </c>
      <c r="G9" t="s">
        <v>29</v>
      </c>
      <c r="H9" t="s">
        <v>30</v>
      </c>
      <c r="I9" t="s">
        <v>28</v>
      </c>
      <c r="J9">
        <v>5</v>
      </c>
      <c r="K9" s="1">
        <v>2000</v>
      </c>
      <c r="L9" s="1">
        <f>Table1[[#This Row],[Unit Price]]*Table1[[#This Row],[Units]]</f>
        <v>10000</v>
      </c>
      <c r="M9" s="1">
        <v>3285</v>
      </c>
      <c r="N9" t="s">
        <v>14</v>
      </c>
    </row>
    <row r="10" spans="4:14" x14ac:dyDescent="0.25">
      <c r="D10">
        <v>1009</v>
      </c>
      <c r="E10" s="4">
        <v>45667</v>
      </c>
      <c r="F10" t="s">
        <v>10</v>
      </c>
      <c r="G10" t="s">
        <v>24</v>
      </c>
      <c r="H10" t="s">
        <v>30</v>
      </c>
      <c r="I10" t="s">
        <v>28</v>
      </c>
      <c r="J10">
        <v>1</v>
      </c>
      <c r="K10" s="1">
        <v>2000</v>
      </c>
      <c r="L10" s="1">
        <f>Table1[[#This Row],[Unit Price]]*Table1[[#This Row],[Units]]</f>
        <v>2000</v>
      </c>
      <c r="M10" s="1">
        <v>439</v>
      </c>
      <c r="N10" t="s">
        <v>14</v>
      </c>
    </row>
    <row r="11" spans="4:14" x14ac:dyDescent="0.25">
      <c r="D11">
        <v>1010</v>
      </c>
      <c r="E11" s="4">
        <v>45794</v>
      </c>
      <c r="F11" t="s">
        <v>15</v>
      </c>
      <c r="G11" t="s">
        <v>16</v>
      </c>
      <c r="H11" t="s">
        <v>30</v>
      </c>
      <c r="I11" t="s">
        <v>13</v>
      </c>
      <c r="J11">
        <v>8</v>
      </c>
      <c r="K11" s="1">
        <v>800</v>
      </c>
      <c r="L11" s="1">
        <f>Table1[[#This Row],[Unit Price]]*Table1[[#This Row],[Units]]</f>
        <v>6400</v>
      </c>
      <c r="M11" s="1">
        <v>1005</v>
      </c>
      <c r="N11" t="s">
        <v>14</v>
      </c>
    </row>
    <row r="12" spans="4:14" x14ac:dyDescent="0.25">
      <c r="D12">
        <v>1011</v>
      </c>
      <c r="E12" s="4">
        <v>45825</v>
      </c>
      <c r="F12" t="s">
        <v>27</v>
      </c>
      <c r="G12" t="s">
        <v>16</v>
      </c>
      <c r="H12" t="s">
        <v>31</v>
      </c>
      <c r="I12" t="s">
        <v>13</v>
      </c>
      <c r="J12">
        <v>1</v>
      </c>
      <c r="K12" s="1">
        <v>800</v>
      </c>
      <c r="L12" s="1">
        <f>Table1[[#This Row],[Unit Price]]*Table1[[#This Row],[Units]]</f>
        <v>800</v>
      </c>
      <c r="M12" s="1">
        <v>161</v>
      </c>
      <c r="N12" t="s">
        <v>14</v>
      </c>
    </row>
    <row r="13" spans="4:14" x14ac:dyDescent="0.25">
      <c r="D13">
        <v>1012</v>
      </c>
      <c r="E13" s="4">
        <v>45707</v>
      </c>
      <c r="F13" t="s">
        <v>32</v>
      </c>
      <c r="G13" t="s">
        <v>24</v>
      </c>
      <c r="H13" t="s">
        <v>25</v>
      </c>
      <c r="I13" t="s">
        <v>28</v>
      </c>
      <c r="J13">
        <v>2</v>
      </c>
      <c r="K13" s="1">
        <v>2000</v>
      </c>
      <c r="L13" s="1">
        <f>Table1[[#This Row],[Unit Price]]*Table1[[#This Row],[Units]]</f>
        <v>4000</v>
      </c>
      <c r="M13" s="1">
        <v>1376</v>
      </c>
      <c r="N13" t="s">
        <v>14</v>
      </c>
    </row>
    <row r="14" spans="4:14" x14ac:dyDescent="0.25">
      <c r="D14">
        <v>1013</v>
      </c>
      <c r="E14" s="4">
        <v>45770</v>
      </c>
      <c r="F14" t="s">
        <v>20</v>
      </c>
      <c r="G14" t="s">
        <v>24</v>
      </c>
      <c r="H14" t="s">
        <v>31</v>
      </c>
      <c r="I14" t="s">
        <v>28</v>
      </c>
      <c r="J14">
        <v>10</v>
      </c>
      <c r="K14" s="1">
        <v>2000</v>
      </c>
      <c r="L14" s="1">
        <f>Table1[[#This Row],[Unit Price]]*Table1[[#This Row],[Units]]</f>
        <v>20000</v>
      </c>
      <c r="M14" s="1">
        <v>3128</v>
      </c>
      <c r="N14" t="s">
        <v>14</v>
      </c>
    </row>
    <row r="15" spans="4:14" x14ac:dyDescent="0.25">
      <c r="D15">
        <v>1014</v>
      </c>
      <c r="E15" s="4">
        <v>45711</v>
      </c>
      <c r="F15" t="s">
        <v>32</v>
      </c>
      <c r="G15" t="s">
        <v>16</v>
      </c>
      <c r="H15" t="s">
        <v>33</v>
      </c>
      <c r="I15" t="s">
        <v>22</v>
      </c>
      <c r="J15">
        <v>1</v>
      </c>
      <c r="K15" s="1">
        <v>15000</v>
      </c>
      <c r="L15" s="1">
        <f>Table1[[#This Row],[Unit Price]]*Table1[[#This Row],[Units]]</f>
        <v>15000</v>
      </c>
      <c r="M15" s="1">
        <v>3075</v>
      </c>
      <c r="N15" t="s">
        <v>14</v>
      </c>
    </row>
    <row r="16" spans="4:14" x14ac:dyDescent="0.25">
      <c r="D16">
        <v>1015</v>
      </c>
      <c r="E16" s="4">
        <v>45795</v>
      </c>
      <c r="F16" t="s">
        <v>15</v>
      </c>
      <c r="G16" t="s">
        <v>24</v>
      </c>
      <c r="H16" t="s">
        <v>17</v>
      </c>
      <c r="I16" t="s">
        <v>13</v>
      </c>
      <c r="J16">
        <v>4</v>
      </c>
      <c r="K16" s="1">
        <v>800</v>
      </c>
      <c r="L16" s="1">
        <f>Table1[[#This Row],[Unit Price]]*Table1[[#This Row],[Units]]</f>
        <v>3200</v>
      </c>
      <c r="M16" s="1">
        <v>1104</v>
      </c>
      <c r="N16" t="s">
        <v>14</v>
      </c>
    </row>
    <row r="17" spans="4:14" x14ac:dyDescent="0.25">
      <c r="D17">
        <v>1016</v>
      </c>
      <c r="E17" s="4">
        <v>45803</v>
      </c>
      <c r="F17" t="s">
        <v>15</v>
      </c>
      <c r="G17" t="s">
        <v>29</v>
      </c>
      <c r="H17" t="s">
        <v>25</v>
      </c>
      <c r="I17" t="s">
        <v>22</v>
      </c>
      <c r="J17">
        <v>9</v>
      </c>
      <c r="K17" s="1">
        <v>15000</v>
      </c>
      <c r="L17" s="1">
        <f>Table1[[#This Row],[Unit Price]]*Table1[[#This Row],[Units]]</f>
        <v>135000</v>
      </c>
      <c r="M17" s="1">
        <v>31799</v>
      </c>
      <c r="N17" t="s">
        <v>26</v>
      </c>
    </row>
    <row r="18" spans="4:14" x14ac:dyDescent="0.25">
      <c r="D18">
        <v>1017</v>
      </c>
      <c r="E18" s="4">
        <v>45712</v>
      </c>
      <c r="F18" t="s">
        <v>32</v>
      </c>
      <c r="G18" t="s">
        <v>24</v>
      </c>
      <c r="H18" t="s">
        <v>17</v>
      </c>
      <c r="I18" t="s">
        <v>28</v>
      </c>
      <c r="J18">
        <v>10</v>
      </c>
      <c r="K18" s="1">
        <v>2000</v>
      </c>
      <c r="L18" s="1">
        <f>Table1[[#This Row],[Unit Price]]*Table1[[#This Row],[Units]]</f>
        <v>20000</v>
      </c>
      <c r="M18" s="1">
        <v>5711</v>
      </c>
      <c r="N18" t="s">
        <v>14</v>
      </c>
    </row>
    <row r="19" spans="4:14" x14ac:dyDescent="0.25">
      <c r="D19">
        <v>1018</v>
      </c>
      <c r="E19" s="4">
        <v>45772</v>
      </c>
      <c r="F19" t="s">
        <v>20</v>
      </c>
      <c r="G19" t="s">
        <v>16</v>
      </c>
      <c r="H19" t="s">
        <v>12</v>
      </c>
      <c r="I19" t="s">
        <v>34</v>
      </c>
      <c r="J19">
        <v>6</v>
      </c>
      <c r="K19" s="1">
        <v>30000</v>
      </c>
      <c r="L19" s="1">
        <f>Table1[[#This Row],[Unit Price]]*Table1[[#This Row],[Units]]</f>
        <v>180000</v>
      </c>
      <c r="M19" s="1">
        <v>53694</v>
      </c>
      <c r="N19" t="s">
        <v>26</v>
      </c>
    </row>
    <row r="20" spans="4:14" x14ac:dyDescent="0.25">
      <c r="D20">
        <v>1019</v>
      </c>
      <c r="E20" s="4">
        <v>45728</v>
      </c>
      <c r="F20" t="s">
        <v>23</v>
      </c>
      <c r="G20" t="s">
        <v>24</v>
      </c>
      <c r="H20" t="s">
        <v>35</v>
      </c>
      <c r="I20" t="s">
        <v>34</v>
      </c>
      <c r="J20">
        <v>10</v>
      </c>
      <c r="K20" s="1">
        <v>30000</v>
      </c>
      <c r="L20" s="1">
        <f>Table1[[#This Row],[Unit Price]]*Table1[[#This Row],[Units]]</f>
        <v>300000</v>
      </c>
      <c r="M20" s="1">
        <v>58038</v>
      </c>
      <c r="N20" t="s">
        <v>19</v>
      </c>
    </row>
    <row r="21" spans="4:14" x14ac:dyDescent="0.25">
      <c r="D21">
        <v>1020</v>
      </c>
      <c r="E21" s="4">
        <v>45659</v>
      </c>
      <c r="F21" t="s">
        <v>10</v>
      </c>
      <c r="G21" t="s">
        <v>16</v>
      </c>
      <c r="H21" t="s">
        <v>33</v>
      </c>
      <c r="I21" t="s">
        <v>22</v>
      </c>
      <c r="J21">
        <v>6</v>
      </c>
      <c r="K21" s="1">
        <v>15000</v>
      </c>
      <c r="L21" s="1">
        <f>Table1[[#This Row],[Unit Price]]*Table1[[#This Row],[Units]]</f>
        <v>90000</v>
      </c>
      <c r="M21" s="1">
        <v>24517</v>
      </c>
      <c r="N21" t="s">
        <v>26</v>
      </c>
    </row>
    <row r="22" spans="4:14" x14ac:dyDescent="0.25">
      <c r="D22">
        <v>1021</v>
      </c>
      <c r="E22" s="4">
        <v>45678</v>
      </c>
      <c r="F22" t="s">
        <v>10</v>
      </c>
      <c r="G22" t="s">
        <v>16</v>
      </c>
      <c r="H22" t="s">
        <v>31</v>
      </c>
      <c r="I22" t="s">
        <v>18</v>
      </c>
      <c r="J22">
        <v>8</v>
      </c>
      <c r="K22" s="1">
        <v>60000</v>
      </c>
      <c r="L22" s="1">
        <f>Table1[[#This Row],[Unit Price]]*Table1[[#This Row],[Units]]</f>
        <v>480000</v>
      </c>
      <c r="M22" s="1">
        <v>167095</v>
      </c>
      <c r="N22" t="s">
        <v>19</v>
      </c>
    </row>
    <row r="23" spans="4:14" x14ac:dyDescent="0.25">
      <c r="D23">
        <v>1022</v>
      </c>
      <c r="E23" s="4">
        <v>45737</v>
      </c>
      <c r="F23" t="s">
        <v>23</v>
      </c>
      <c r="G23" t="s">
        <v>11</v>
      </c>
      <c r="H23" t="s">
        <v>17</v>
      </c>
      <c r="I23" t="s">
        <v>22</v>
      </c>
      <c r="J23">
        <v>2</v>
      </c>
      <c r="K23" s="1">
        <v>15000</v>
      </c>
      <c r="L23" s="1">
        <f>Table1[[#This Row],[Unit Price]]*Table1[[#This Row],[Units]]</f>
        <v>30000</v>
      </c>
      <c r="M23" s="1">
        <v>6311</v>
      </c>
      <c r="N23" t="s">
        <v>14</v>
      </c>
    </row>
    <row r="24" spans="4:14" x14ac:dyDescent="0.25">
      <c r="D24">
        <v>1023</v>
      </c>
      <c r="E24" s="4">
        <v>45709</v>
      </c>
      <c r="F24" t="s">
        <v>32</v>
      </c>
      <c r="G24" t="s">
        <v>16</v>
      </c>
      <c r="H24" t="s">
        <v>21</v>
      </c>
      <c r="I24" t="s">
        <v>28</v>
      </c>
      <c r="J24">
        <v>5</v>
      </c>
      <c r="K24" s="1">
        <v>2000</v>
      </c>
      <c r="L24" s="1">
        <f>Table1[[#This Row],[Unit Price]]*Table1[[#This Row],[Units]]</f>
        <v>10000</v>
      </c>
      <c r="M24" s="1">
        <v>2449</v>
      </c>
      <c r="N24" t="s">
        <v>14</v>
      </c>
    </row>
    <row r="25" spans="4:14" x14ac:dyDescent="0.25">
      <c r="D25">
        <v>1024</v>
      </c>
      <c r="E25" s="4">
        <v>45807</v>
      </c>
      <c r="F25" t="s">
        <v>15</v>
      </c>
      <c r="G25" t="s">
        <v>29</v>
      </c>
      <c r="H25" t="s">
        <v>31</v>
      </c>
      <c r="I25" t="s">
        <v>22</v>
      </c>
      <c r="J25">
        <v>3</v>
      </c>
      <c r="K25" s="1">
        <v>15000</v>
      </c>
      <c r="L25" s="1">
        <f>Table1[[#This Row],[Unit Price]]*Table1[[#This Row],[Units]]</f>
        <v>45000</v>
      </c>
      <c r="M25" s="1">
        <v>11364</v>
      </c>
      <c r="N25" t="s">
        <v>14</v>
      </c>
    </row>
    <row r="26" spans="4:14" x14ac:dyDescent="0.25">
      <c r="D26">
        <v>1025</v>
      </c>
      <c r="E26" s="4">
        <v>45732</v>
      </c>
      <c r="F26" t="s">
        <v>23</v>
      </c>
      <c r="G26" t="s">
        <v>16</v>
      </c>
      <c r="H26" t="s">
        <v>12</v>
      </c>
      <c r="I26" t="s">
        <v>18</v>
      </c>
      <c r="J26">
        <v>5</v>
      </c>
      <c r="K26" s="1">
        <v>60000</v>
      </c>
      <c r="L26" s="1">
        <f>Table1[[#This Row],[Unit Price]]*Table1[[#This Row],[Units]]</f>
        <v>300000</v>
      </c>
      <c r="M26" s="1">
        <v>90988</v>
      </c>
      <c r="N26" t="s">
        <v>19</v>
      </c>
    </row>
    <row r="27" spans="4:14" x14ac:dyDescent="0.25">
      <c r="D27">
        <v>1026</v>
      </c>
      <c r="E27" s="4">
        <v>45792</v>
      </c>
      <c r="F27" t="s">
        <v>15</v>
      </c>
      <c r="G27" t="s">
        <v>29</v>
      </c>
      <c r="H27" t="s">
        <v>21</v>
      </c>
      <c r="I27" t="s">
        <v>34</v>
      </c>
      <c r="J27">
        <v>3</v>
      </c>
      <c r="K27" s="1">
        <v>30000</v>
      </c>
      <c r="L27" s="1">
        <f>Table1[[#This Row],[Unit Price]]*Table1[[#This Row],[Units]]</f>
        <v>90000</v>
      </c>
      <c r="M27" s="1">
        <v>22900</v>
      </c>
      <c r="N27" t="s">
        <v>26</v>
      </c>
    </row>
    <row r="28" spans="4:14" x14ac:dyDescent="0.25">
      <c r="D28">
        <v>1027</v>
      </c>
      <c r="E28" s="4">
        <v>45796</v>
      </c>
      <c r="F28" t="s">
        <v>15</v>
      </c>
      <c r="G28" t="s">
        <v>16</v>
      </c>
      <c r="H28" t="s">
        <v>35</v>
      </c>
      <c r="I28" t="s">
        <v>18</v>
      </c>
      <c r="J28">
        <v>9</v>
      </c>
      <c r="K28" s="1">
        <v>60000</v>
      </c>
      <c r="L28" s="1">
        <f>Table1[[#This Row],[Unit Price]]*Table1[[#This Row],[Units]]</f>
        <v>540000</v>
      </c>
      <c r="M28" s="1">
        <v>188098</v>
      </c>
      <c r="N28" t="s">
        <v>19</v>
      </c>
    </row>
    <row r="29" spans="4:14" x14ac:dyDescent="0.25">
      <c r="D29">
        <v>1028</v>
      </c>
      <c r="E29" s="4">
        <v>45818</v>
      </c>
      <c r="F29" t="s">
        <v>27</v>
      </c>
      <c r="G29" t="s">
        <v>29</v>
      </c>
      <c r="H29" t="s">
        <v>35</v>
      </c>
      <c r="I29" t="s">
        <v>34</v>
      </c>
      <c r="J29">
        <v>2</v>
      </c>
      <c r="K29" s="1">
        <v>30000</v>
      </c>
      <c r="L29" s="1">
        <f>Table1[[#This Row],[Unit Price]]*Table1[[#This Row],[Units]]</f>
        <v>60000</v>
      </c>
      <c r="M29" s="1">
        <v>17061</v>
      </c>
      <c r="N29" t="s">
        <v>26</v>
      </c>
    </row>
    <row r="30" spans="4:14" x14ac:dyDescent="0.25">
      <c r="D30">
        <v>1029</v>
      </c>
      <c r="E30" s="4">
        <v>45832</v>
      </c>
      <c r="F30" t="s">
        <v>27</v>
      </c>
      <c r="G30" t="s">
        <v>16</v>
      </c>
      <c r="H30" t="s">
        <v>12</v>
      </c>
      <c r="I30" t="s">
        <v>22</v>
      </c>
      <c r="J30">
        <v>6</v>
      </c>
      <c r="K30" s="1">
        <v>15000</v>
      </c>
      <c r="L30" s="1">
        <f>Table1[[#This Row],[Unit Price]]*Table1[[#This Row],[Units]]</f>
        <v>90000</v>
      </c>
      <c r="M30" s="1">
        <v>23458</v>
      </c>
      <c r="N30" t="s">
        <v>26</v>
      </c>
    </row>
    <row r="31" spans="4:14" x14ac:dyDescent="0.25">
      <c r="D31">
        <v>1030</v>
      </c>
      <c r="E31" s="4">
        <v>45752</v>
      </c>
      <c r="F31" t="s">
        <v>20</v>
      </c>
      <c r="G31" t="s">
        <v>11</v>
      </c>
      <c r="H31" t="s">
        <v>30</v>
      </c>
      <c r="I31" t="s">
        <v>13</v>
      </c>
      <c r="J31">
        <v>9</v>
      </c>
      <c r="K31" s="1">
        <v>800</v>
      </c>
      <c r="L31" s="1">
        <f>Table1[[#This Row],[Unit Price]]*Table1[[#This Row],[Units]]</f>
        <v>7200</v>
      </c>
      <c r="M31" s="1">
        <v>2464</v>
      </c>
      <c r="N31" t="s">
        <v>14</v>
      </c>
    </row>
    <row r="32" spans="4:14" x14ac:dyDescent="0.25">
      <c r="D32">
        <v>1031</v>
      </c>
      <c r="E32" s="4">
        <v>45736</v>
      </c>
      <c r="F32" t="s">
        <v>23</v>
      </c>
      <c r="G32" t="s">
        <v>11</v>
      </c>
      <c r="H32" t="s">
        <v>25</v>
      </c>
      <c r="I32" t="s">
        <v>13</v>
      </c>
      <c r="J32">
        <v>7</v>
      </c>
      <c r="K32" s="1">
        <v>800</v>
      </c>
      <c r="L32" s="1">
        <f>Table1[[#This Row],[Unit Price]]*Table1[[#This Row],[Units]]</f>
        <v>5600</v>
      </c>
      <c r="M32" s="1">
        <v>1927</v>
      </c>
      <c r="N32" t="s">
        <v>14</v>
      </c>
    </row>
    <row r="33" spans="4:14" x14ac:dyDescent="0.25">
      <c r="D33">
        <v>1032</v>
      </c>
      <c r="E33" s="4">
        <v>45732</v>
      </c>
      <c r="F33" t="s">
        <v>23</v>
      </c>
      <c r="G33" t="s">
        <v>11</v>
      </c>
      <c r="H33" t="s">
        <v>30</v>
      </c>
      <c r="I33" t="s">
        <v>34</v>
      </c>
      <c r="J33">
        <v>8</v>
      </c>
      <c r="K33" s="1">
        <v>30000</v>
      </c>
      <c r="L33" s="1">
        <f>Table1[[#This Row],[Unit Price]]*Table1[[#This Row],[Units]]</f>
        <v>240000</v>
      </c>
      <c r="M33" s="1">
        <v>73711</v>
      </c>
      <c r="N33" t="s">
        <v>19</v>
      </c>
    </row>
    <row r="34" spans="4:14" x14ac:dyDescent="0.25">
      <c r="D34">
        <v>1033</v>
      </c>
      <c r="E34" s="4">
        <v>45714</v>
      </c>
      <c r="F34" t="s">
        <v>32</v>
      </c>
      <c r="G34" t="s">
        <v>11</v>
      </c>
      <c r="H34" t="s">
        <v>25</v>
      </c>
      <c r="I34" t="s">
        <v>22</v>
      </c>
      <c r="J34">
        <v>1</v>
      </c>
      <c r="K34" s="1">
        <v>15000</v>
      </c>
      <c r="L34" s="1">
        <f>Table1[[#This Row],[Unit Price]]*Table1[[#This Row],[Units]]</f>
        <v>15000</v>
      </c>
      <c r="M34" s="1">
        <v>2484</v>
      </c>
      <c r="N34" t="s">
        <v>14</v>
      </c>
    </row>
    <row r="35" spans="4:14" x14ac:dyDescent="0.25">
      <c r="D35">
        <v>1034</v>
      </c>
      <c r="E35" s="4">
        <v>45690</v>
      </c>
      <c r="F35" t="s">
        <v>32</v>
      </c>
      <c r="G35" t="s">
        <v>24</v>
      </c>
      <c r="H35" t="s">
        <v>33</v>
      </c>
      <c r="I35" t="s">
        <v>22</v>
      </c>
      <c r="J35">
        <v>9</v>
      </c>
      <c r="K35" s="1">
        <v>15000</v>
      </c>
      <c r="L35" s="1">
        <f>Table1[[#This Row],[Unit Price]]*Table1[[#This Row],[Units]]</f>
        <v>135000</v>
      </c>
      <c r="M35" s="1">
        <v>36903</v>
      </c>
      <c r="N35" t="s">
        <v>26</v>
      </c>
    </row>
    <row r="36" spans="4:14" x14ac:dyDescent="0.25">
      <c r="D36">
        <v>1035</v>
      </c>
      <c r="E36" s="4">
        <v>45718</v>
      </c>
      <c r="F36" t="s">
        <v>23</v>
      </c>
      <c r="G36" t="s">
        <v>29</v>
      </c>
      <c r="H36" t="s">
        <v>31</v>
      </c>
      <c r="I36" t="s">
        <v>18</v>
      </c>
      <c r="J36">
        <v>6</v>
      </c>
      <c r="K36" s="1">
        <v>60000</v>
      </c>
      <c r="L36" s="1">
        <f>Table1[[#This Row],[Unit Price]]*Table1[[#This Row],[Units]]</f>
        <v>360000</v>
      </c>
      <c r="M36" s="1">
        <v>79267</v>
      </c>
      <c r="N36" t="s">
        <v>19</v>
      </c>
    </row>
    <row r="37" spans="4:14" x14ac:dyDescent="0.25">
      <c r="D37">
        <v>1036</v>
      </c>
      <c r="E37" s="4">
        <v>45677</v>
      </c>
      <c r="F37" t="s">
        <v>10</v>
      </c>
      <c r="G37" t="s">
        <v>16</v>
      </c>
      <c r="H37" t="s">
        <v>25</v>
      </c>
      <c r="I37" t="s">
        <v>18</v>
      </c>
      <c r="J37">
        <v>9</v>
      </c>
      <c r="K37" s="1">
        <v>60000</v>
      </c>
      <c r="L37" s="1">
        <f>Table1[[#This Row],[Unit Price]]*Table1[[#This Row],[Units]]</f>
        <v>540000</v>
      </c>
      <c r="M37" s="1">
        <v>177755</v>
      </c>
      <c r="N37" t="s">
        <v>19</v>
      </c>
    </row>
    <row r="38" spans="4:14" x14ac:dyDescent="0.25">
      <c r="D38">
        <v>1037</v>
      </c>
      <c r="E38" s="4">
        <v>45801</v>
      </c>
      <c r="F38" t="s">
        <v>15</v>
      </c>
      <c r="G38" t="s">
        <v>29</v>
      </c>
      <c r="H38" t="s">
        <v>17</v>
      </c>
      <c r="I38" t="s">
        <v>28</v>
      </c>
      <c r="J38">
        <v>7</v>
      </c>
      <c r="K38" s="1">
        <v>2000</v>
      </c>
      <c r="L38" s="1">
        <f>Table1[[#This Row],[Unit Price]]*Table1[[#This Row],[Units]]</f>
        <v>14000</v>
      </c>
      <c r="M38" s="1">
        <v>2353</v>
      </c>
      <c r="N38" t="s">
        <v>14</v>
      </c>
    </row>
    <row r="39" spans="4:14" x14ac:dyDescent="0.25">
      <c r="D39">
        <v>1038</v>
      </c>
      <c r="E39" s="4">
        <v>45734</v>
      </c>
      <c r="F39" t="s">
        <v>23</v>
      </c>
      <c r="G39" t="s">
        <v>16</v>
      </c>
      <c r="H39" t="s">
        <v>31</v>
      </c>
      <c r="I39" t="s">
        <v>22</v>
      </c>
      <c r="J39">
        <v>6</v>
      </c>
      <c r="K39" s="1">
        <v>15000</v>
      </c>
      <c r="L39" s="1">
        <f>Table1[[#This Row],[Unit Price]]*Table1[[#This Row],[Units]]</f>
        <v>90000</v>
      </c>
      <c r="M39" s="1">
        <v>15805</v>
      </c>
      <c r="N39" t="s">
        <v>26</v>
      </c>
    </row>
    <row r="40" spans="4:14" x14ac:dyDescent="0.25">
      <c r="D40">
        <v>1039</v>
      </c>
      <c r="E40" s="4">
        <v>45771</v>
      </c>
      <c r="F40" t="s">
        <v>20</v>
      </c>
      <c r="G40" t="s">
        <v>29</v>
      </c>
      <c r="H40" t="s">
        <v>33</v>
      </c>
      <c r="I40" t="s">
        <v>13</v>
      </c>
      <c r="J40">
        <v>6</v>
      </c>
      <c r="K40" s="1">
        <v>800</v>
      </c>
      <c r="L40" s="1">
        <f>Table1[[#This Row],[Unit Price]]*Table1[[#This Row],[Units]]</f>
        <v>4800</v>
      </c>
      <c r="M40" s="1">
        <v>1390</v>
      </c>
      <c r="N40" t="s">
        <v>14</v>
      </c>
    </row>
    <row r="41" spans="4:14" x14ac:dyDescent="0.25">
      <c r="D41">
        <v>1040</v>
      </c>
      <c r="E41" s="4">
        <v>45677</v>
      </c>
      <c r="F41" t="s">
        <v>10</v>
      </c>
      <c r="G41" t="s">
        <v>16</v>
      </c>
      <c r="H41" t="s">
        <v>17</v>
      </c>
      <c r="I41" t="s">
        <v>22</v>
      </c>
      <c r="J41">
        <v>3</v>
      </c>
      <c r="K41" s="1">
        <v>15000</v>
      </c>
      <c r="L41" s="1">
        <f>Table1[[#This Row],[Unit Price]]*Table1[[#This Row],[Units]]</f>
        <v>45000</v>
      </c>
      <c r="M41" s="1">
        <v>15225</v>
      </c>
      <c r="N41" t="s">
        <v>14</v>
      </c>
    </row>
    <row r="42" spans="4:14" x14ac:dyDescent="0.25">
      <c r="D42">
        <v>1041</v>
      </c>
      <c r="E42" s="4">
        <v>45748</v>
      </c>
      <c r="F42" t="s">
        <v>20</v>
      </c>
      <c r="G42" t="s">
        <v>11</v>
      </c>
      <c r="H42" t="s">
        <v>31</v>
      </c>
      <c r="I42" t="s">
        <v>28</v>
      </c>
      <c r="J42">
        <v>3</v>
      </c>
      <c r="K42" s="1">
        <v>2000</v>
      </c>
      <c r="L42" s="1">
        <f>Table1[[#This Row],[Unit Price]]*Table1[[#This Row],[Units]]</f>
        <v>6000</v>
      </c>
      <c r="M42" s="1">
        <v>1114</v>
      </c>
      <c r="N42" t="s">
        <v>14</v>
      </c>
    </row>
    <row r="43" spans="4:14" x14ac:dyDescent="0.25">
      <c r="D43">
        <v>1042</v>
      </c>
      <c r="E43" s="4">
        <v>45691</v>
      </c>
      <c r="F43" t="s">
        <v>32</v>
      </c>
      <c r="G43" t="s">
        <v>16</v>
      </c>
      <c r="H43" t="s">
        <v>17</v>
      </c>
      <c r="I43" t="s">
        <v>28</v>
      </c>
      <c r="J43">
        <v>4</v>
      </c>
      <c r="K43" s="1">
        <v>2000</v>
      </c>
      <c r="L43" s="1">
        <f>Table1[[#This Row],[Unit Price]]*Table1[[#This Row],[Units]]</f>
        <v>8000</v>
      </c>
      <c r="M43" s="1">
        <v>2112</v>
      </c>
      <c r="N43" t="s">
        <v>14</v>
      </c>
    </row>
    <row r="44" spans="4:14" x14ac:dyDescent="0.25">
      <c r="D44">
        <v>1043</v>
      </c>
      <c r="E44" s="4">
        <v>45738</v>
      </c>
      <c r="F44" t="s">
        <v>23</v>
      </c>
      <c r="G44" t="s">
        <v>11</v>
      </c>
      <c r="H44" t="s">
        <v>21</v>
      </c>
      <c r="I44" t="s">
        <v>13</v>
      </c>
      <c r="J44">
        <v>2</v>
      </c>
      <c r="K44" s="1">
        <v>800</v>
      </c>
      <c r="L44" s="1">
        <f>Table1[[#This Row],[Unit Price]]*Table1[[#This Row],[Units]]</f>
        <v>1600</v>
      </c>
      <c r="M44" s="1">
        <v>444</v>
      </c>
      <c r="N44" t="s">
        <v>14</v>
      </c>
    </row>
    <row r="45" spans="4:14" x14ac:dyDescent="0.25">
      <c r="D45">
        <v>1044</v>
      </c>
      <c r="E45" s="4">
        <v>45784</v>
      </c>
      <c r="F45" t="s">
        <v>15</v>
      </c>
      <c r="G45" t="s">
        <v>24</v>
      </c>
      <c r="H45" t="s">
        <v>17</v>
      </c>
      <c r="I45" t="s">
        <v>22</v>
      </c>
      <c r="J45">
        <v>5</v>
      </c>
      <c r="K45" s="1">
        <v>15000</v>
      </c>
      <c r="L45" s="1">
        <f>Table1[[#This Row],[Unit Price]]*Table1[[#This Row],[Units]]</f>
        <v>75000</v>
      </c>
      <c r="M45" s="1">
        <v>14047</v>
      </c>
      <c r="N45" t="s">
        <v>26</v>
      </c>
    </row>
    <row r="46" spans="4:14" x14ac:dyDescent="0.25">
      <c r="D46">
        <v>1045</v>
      </c>
      <c r="E46" s="4">
        <v>45794</v>
      </c>
      <c r="F46" t="s">
        <v>15</v>
      </c>
      <c r="G46" t="s">
        <v>16</v>
      </c>
      <c r="H46" t="s">
        <v>17</v>
      </c>
      <c r="I46" t="s">
        <v>13</v>
      </c>
      <c r="J46">
        <v>9</v>
      </c>
      <c r="K46" s="1">
        <v>800</v>
      </c>
      <c r="L46" s="1">
        <f>Table1[[#This Row],[Unit Price]]*Table1[[#This Row],[Units]]</f>
        <v>7200</v>
      </c>
      <c r="M46" s="1">
        <v>2162</v>
      </c>
      <c r="N46" t="s">
        <v>14</v>
      </c>
    </row>
    <row r="47" spans="4:14" x14ac:dyDescent="0.25">
      <c r="D47">
        <v>1046</v>
      </c>
      <c r="E47" s="4">
        <v>45690</v>
      </c>
      <c r="F47" t="s">
        <v>32</v>
      </c>
      <c r="G47" t="s">
        <v>16</v>
      </c>
      <c r="H47" t="s">
        <v>17</v>
      </c>
      <c r="I47" t="s">
        <v>34</v>
      </c>
      <c r="J47">
        <v>9</v>
      </c>
      <c r="K47" s="1">
        <v>30000</v>
      </c>
      <c r="L47" s="1">
        <f>Table1[[#This Row],[Unit Price]]*Table1[[#This Row],[Units]]</f>
        <v>270000</v>
      </c>
      <c r="M47" s="1">
        <v>52900</v>
      </c>
      <c r="N47" t="s">
        <v>19</v>
      </c>
    </row>
    <row r="48" spans="4:14" x14ac:dyDescent="0.25">
      <c r="D48">
        <v>1047</v>
      </c>
      <c r="E48" s="4">
        <v>45766</v>
      </c>
      <c r="F48" t="s">
        <v>20</v>
      </c>
      <c r="G48" t="s">
        <v>29</v>
      </c>
      <c r="H48" t="s">
        <v>30</v>
      </c>
      <c r="I48" t="s">
        <v>22</v>
      </c>
      <c r="J48">
        <v>10</v>
      </c>
      <c r="K48" s="1">
        <v>15000</v>
      </c>
      <c r="L48" s="1">
        <f>Table1[[#This Row],[Unit Price]]*Table1[[#This Row],[Units]]</f>
        <v>150000</v>
      </c>
      <c r="M48" s="1">
        <v>24963</v>
      </c>
      <c r="N48" t="s">
        <v>26</v>
      </c>
    </row>
    <row r="49" spans="4:14" x14ac:dyDescent="0.25">
      <c r="D49">
        <v>1048</v>
      </c>
      <c r="E49" s="4">
        <v>45747</v>
      </c>
      <c r="F49" t="s">
        <v>23</v>
      </c>
      <c r="G49" t="s">
        <v>11</v>
      </c>
      <c r="H49" t="s">
        <v>12</v>
      </c>
      <c r="I49" t="s">
        <v>18</v>
      </c>
      <c r="J49">
        <v>2</v>
      </c>
      <c r="K49" s="1">
        <v>60000</v>
      </c>
      <c r="L49" s="1">
        <f>Table1[[#This Row],[Unit Price]]*Table1[[#This Row],[Units]]</f>
        <v>120000</v>
      </c>
      <c r="M49" s="1">
        <v>34529</v>
      </c>
      <c r="N49" t="s">
        <v>26</v>
      </c>
    </row>
    <row r="50" spans="4:14" x14ac:dyDescent="0.25">
      <c r="D50">
        <v>1049</v>
      </c>
      <c r="E50" s="4">
        <v>45726</v>
      </c>
      <c r="F50" t="s">
        <v>23</v>
      </c>
      <c r="G50" t="s">
        <v>29</v>
      </c>
      <c r="H50" t="s">
        <v>12</v>
      </c>
      <c r="I50" t="s">
        <v>28</v>
      </c>
      <c r="J50">
        <v>5</v>
      </c>
      <c r="K50" s="1">
        <v>2000</v>
      </c>
      <c r="L50" s="1">
        <f>Table1[[#This Row],[Unit Price]]*Table1[[#This Row],[Units]]</f>
        <v>10000</v>
      </c>
      <c r="M50" s="1">
        <v>2343</v>
      </c>
      <c r="N50" t="s">
        <v>14</v>
      </c>
    </row>
    <row r="51" spans="4:14" x14ac:dyDescent="0.25">
      <c r="D51">
        <v>1050</v>
      </c>
      <c r="E51" s="4">
        <v>45777</v>
      </c>
      <c r="F51" t="s">
        <v>20</v>
      </c>
      <c r="G51" t="s">
        <v>24</v>
      </c>
      <c r="H51" t="s">
        <v>33</v>
      </c>
      <c r="I51" t="s">
        <v>34</v>
      </c>
      <c r="J51">
        <v>1</v>
      </c>
      <c r="K51" s="1">
        <v>30000</v>
      </c>
      <c r="L51" s="1">
        <f>Table1[[#This Row],[Unit Price]]*Table1[[#This Row],[Units]]</f>
        <v>30000</v>
      </c>
      <c r="M51" s="1">
        <v>4555</v>
      </c>
      <c r="N51" t="s">
        <v>14</v>
      </c>
    </row>
    <row r="52" spans="4:14" x14ac:dyDescent="0.25">
      <c r="D52">
        <v>1051</v>
      </c>
      <c r="E52" s="4">
        <v>45783</v>
      </c>
      <c r="F52" t="s">
        <v>15</v>
      </c>
      <c r="G52" t="s">
        <v>11</v>
      </c>
      <c r="H52" t="s">
        <v>21</v>
      </c>
      <c r="I52" t="s">
        <v>13</v>
      </c>
      <c r="J52">
        <v>10</v>
      </c>
      <c r="K52" s="1">
        <v>800</v>
      </c>
      <c r="L52" s="1">
        <f>Table1[[#This Row],[Unit Price]]*Table1[[#This Row],[Units]]</f>
        <v>8000</v>
      </c>
      <c r="M52" s="1">
        <v>2390</v>
      </c>
      <c r="N52" t="s">
        <v>14</v>
      </c>
    </row>
    <row r="53" spans="4:14" x14ac:dyDescent="0.25">
      <c r="D53">
        <v>1052</v>
      </c>
      <c r="E53" s="4">
        <v>45766</v>
      </c>
      <c r="F53" t="s">
        <v>20</v>
      </c>
      <c r="G53" t="s">
        <v>24</v>
      </c>
      <c r="H53" t="s">
        <v>33</v>
      </c>
      <c r="I53" t="s">
        <v>18</v>
      </c>
      <c r="J53">
        <v>8</v>
      </c>
      <c r="K53" s="1">
        <v>60000</v>
      </c>
      <c r="L53" s="1">
        <f>Table1[[#This Row],[Unit Price]]*Table1[[#This Row],[Units]]</f>
        <v>480000</v>
      </c>
      <c r="M53" s="1">
        <v>97532</v>
      </c>
      <c r="N53" t="s">
        <v>19</v>
      </c>
    </row>
    <row r="54" spans="4:14" x14ac:dyDescent="0.25">
      <c r="D54">
        <v>1053</v>
      </c>
      <c r="E54" s="4">
        <v>45802</v>
      </c>
      <c r="F54" t="s">
        <v>15</v>
      </c>
      <c r="G54" t="s">
        <v>24</v>
      </c>
      <c r="H54" t="s">
        <v>31</v>
      </c>
      <c r="I54" t="s">
        <v>18</v>
      </c>
      <c r="J54">
        <v>9</v>
      </c>
      <c r="K54" s="1">
        <v>60000</v>
      </c>
      <c r="L54" s="1">
        <f>Table1[[#This Row],[Unit Price]]*Table1[[#This Row],[Units]]</f>
        <v>540000</v>
      </c>
      <c r="M54" s="1">
        <v>84430</v>
      </c>
      <c r="N54" t="s">
        <v>19</v>
      </c>
    </row>
    <row r="55" spans="4:14" x14ac:dyDescent="0.25">
      <c r="D55">
        <v>1054</v>
      </c>
      <c r="E55" s="4">
        <v>45716</v>
      </c>
      <c r="F55" t="s">
        <v>32</v>
      </c>
      <c r="G55" t="s">
        <v>16</v>
      </c>
      <c r="H55" t="s">
        <v>30</v>
      </c>
      <c r="I55" t="s">
        <v>13</v>
      </c>
      <c r="J55">
        <v>7</v>
      </c>
      <c r="K55" s="1">
        <v>800</v>
      </c>
      <c r="L55" s="1">
        <f>Table1[[#This Row],[Unit Price]]*Table1[[#This Row],[Units]]</f>
        <v>5600</v>
      </c>
      <c r="M55" s="1">
        <v>1890</v>
      </c>
      <c r="N55" t="s">
        <v>14</v>
      </c>
    </row>
    <row r="56" spans="4:14" x14ac:dyDescent="0.25">
      <c r="D56">
        <v>1055</v>
      </c>
      <c r="E56" s="4">
        <v>45804</v>
      </c>
      <c r="F56" t="s">
        <v>15</v>
      </c>
      <c r="G56" t="s">
        <v>29</v>
      </c>
      <c r="H56" t="s">
        <v>33</v>
      </c>
      <c r="I56" t="s">
        <v>18</v>
      </c>
      <c r="J56">
        <v>10</v>
      </c>
      <c r="K56" s="1">
        <v>60000</v>
      </c>
      <c r="L56" s="1">
        <f>Table1[[#This Row],[Unit Price]]*Table1[[#This Row],[Units]]</f>
        <v>600000</v>
      </c>
      <c r="M56" s="1">
        <v>104665</v>
      </c>
      <c r="N56" t="s">
        <v>19</v>
      </c>
    </row>
    <row r="57" spans="4:14" x14ac:dyDescent="0.25">
      <c r="D57">
        <v>1056</v>
      </c>
      <c r="E57" s="4">
        <v>45771</v>
      </c>
      <c r="F57" t="s">
        <v>20</v>
      </c>
      <c r="G57" t="s">
        <v>29</v>
      </c>
      <c r="H57" t="s">
        <v>33</v>
      </c>
      <c r="I57" t="s">
        <v>18</v>
      </c>
      <c r="J57">
        <v>6</v>
      </c>
      <c r="K57" s="1">
        <v>60000</v>
      </c>
      <c r="L57" s="1">
        <f>Table1[[#This Row],[Unit Price]]*Table1[[#This Row],[Units]]</f>
        <v>360000</v>
      </c>
      <c r="M57" s="1">
        <v>57896</v>
      </c>
      <c r="N57" t="s">
        <v>19</v>
      </c>
    </row>
    <row r="58" spans="4:14" x14ac:dyDescent="0.25">
      <c r="D58">
        <v>1057</v>
      </c>
      <c r="E58" s="4">
        <v>45772</v>
      </c>
      <c r="F58" t="s">
        <v>20</v>
      </c>
      <c r="G58" t="s">
        <v>29</v>
      </c>
      <c r="H58" t="s">
        <v>12</v>
      </c>
      <c r="I58" t="s">
        <v>18</v>
      </c>
      <c r="J58">
        <v>8</v>
      </c>
      <c r="K58" s="1">
        <v>60000</v>
      </c>
      <c r="L58" s="1">
        <f>Table1[[#This Row],[Unit Price]]*Table1[[#This Row],[Units]]</f>
        <v>480000</v>
      </c>
      <c r="M58" s="1">
        <v>107793</v>
      </c>
      <c r="N58" t="s">
        <v>19</v>
      </c>
    </row>
    <row r="59" spans="4:14" x14ac:dyDescent="0.25">
      <c r="D59">
        <v>1058</v>
      </c>
      <c r="E59" s="4">
        <v>45801</v>
      </c>
      <c r="F59" t="s">
        <v>15</v>
      </c>
      <c r="G59" t="s">
        <v>11</v>
      </c>
      <c r="H59" t="s">
        <v>35</v>
      </c>
      <c r="I59" t="s">
        <v>22</v>
      </c>
      <c r="J59">
        <v>10</v>
      </c>
      <c r="K59" s="1">
        <v>15000</v>
      </c>
      <c r="L59" s="1">
        <f>Table1[[#This Row],[Unit Price]]*Table1[[#This Row],[Units]]</f>
        <v>150000</v>
      </c>
      <c r="M59" s="1">
        <v>43791</v>
      </c>
      <c r="N59" t="s">
        <v>26</v>
      </c>
    </row>
    <row r="60" spans="4:14" x14ac:dyDescent="0.25">
      <c r="D60">
        <v>1059</v>
      </c>
      <c r="E60" s="4">
        <v>45721</v>
      </c>
      <c r="F60" t="s">
        <v>23</v>
      </c>
      <c r="G60" t="s">
        <v>29</v>
      </c>
      <c r="H60" t="s">
        <v>12</v>
      </c>
      <c r="I60" t="s">
        <v>28</v>
      </c>
      <c r="J60">
        <v>10</v>
      </c>
      <c r="K60" s="1">
        <v>2000</v>
      </c>
      <c r="L60" s="1">
        <f>Table1[[#This Row],[Unit Price]]*Table1[[#This Row],[Units]]</f>
        <v>20000</v>
      </c>
      <c r="M60" s="1">
        <v>5705</v>
      </c>
      <c r="N60" t="s">
        <v>14</v>
      </c>
    </row>
    <row r="61" spans="4:14" x14ac:dyDescent="0.25">
      <c r="D61">
        <v>1060</v>
      </c>
      <c r="E61" s="4">
        <v>45675</v>
      </c>
      <c r="F61" t="s">
        <v>10</v>
      </c>
      <c r="G61" t="s">
        <v>24</v>
      </c>
      <c r="H61" t="s">
        <v>30</v>
      </c>
      <c r="I61" t="s">
        <v>28</v>
      </c>
      <c r="J61">
        <v>8</v>
      </c>
      <c r="K61" s="1">
        <v>2000</v>
      </c>
      <c r="L61" s="1">
        <f>Table1[[#This Row],[Unit Price]]*Table1[[#This Row],[Units]]</f>
        <v>16000</v>
      </c>
      <c r="M61" s="1">
        <v>2858</v>
      </c>
      <c r="N61" t="s">
        <v>14</v>
      </c>
    </row>
    <row r="62" spans="4:14" x14ac:dyDescent="0.25">
      <c r="D62">
        <v>1061</v>
      </c>
      <c r="E62" s="4">
        <v>45838</v>
      </c>
      <c r="F62" t="s">
        <v>27</v>
      </c>
      <c r="G62" t="s">
        <v>24</v>
      </c>
      <c r="H62" t="s">
        <v>25</v>
      </c>
      <c r="I62" t="s">
        <v>18</v>
      </c>
      <c r="J62">
        <v>7</v>
      </c>
      <c r="K62" s="1">
        <v>60000</v>
      </c>
      <c r="L62" s="1">
        <f>Table1[[#This Row],[Unit Price]]*Table1[[#This Row],[Units]]</f>
        <v>420000</v>
      </c>
      <c r="M62" s="1">
        <v>116076</v>
      </c>
      <c r="N62" t="s">
        <v>19</v>
      </c>
    </row>
    <row r="63" spans="4:14" x14ac:dyDescent="0.25">
      <c r="D63">
        <v>1062</v>
      </c>
      <c r="E63" s="4">
        <v>45743</v>
      </c>
      <c r="F63" t="s">
        <v>23</v>
      </c>
      <c r="G63" t="s">
        <v>16</v>
      </c>
      <c r="H63" t="s">
        <v>31</v>
      </c>
      <c r="I63" t="s">
        <v>22</v>
      </c>
      <c r="J63">
        <v>6</v>
      </c>
      <c r="K63" s="1">
        <v>15000</v>
      </c>
      <c r="L63" s="1">
        <f>Table1[[#This Row],[Unit Price]]*Table1[[#This Row],[Units]]</f>
        <v>90000</v>
      </c>
      <c r="M63" s="1">
        <v>17945</v>
      </c>
      <c r="N63" t="s">
        <v>26</v>
      </c>
    </row>
    <row r="64" spans="4:14" x14ac:dyDescent="0.25">
      <c r="D64">
        <v>1063</v>
      </c>
      <c r="E64" s="4">
        <v>45819</v>
      </c>
      <c r="F64" t="s">
        <v>27</v>
      </c>
      <c r="G64" t="s">
        <v>24</v>
      </c>
      <c r="H64" t="s">
        <v>31</v>
      </c>
      <c r="I64" t="s">
        <v>34</v>
      </c>
      <c r="J64">
        <v>8</v>
      </c>
      <c r="K64" s="1">
        <v>30000</v>
      </c>
      <c r="L64" s="1">
        <f>Table1[[#This Row],[Unit Price]]*Table1[[#This Row],[Units]]</f>
        <v>240000</v>
      </c>
      <c r="M64" s="1">
        <v>51398</v>
      </c>
      <c r="N64" t="s">
        <v>19</v>
      </c>
    </row>
    <row r="65" spans="4:14" x14ac:dyDescent="0.25">
      <c r="D65">
        <v>1064</v>
      </c>
      <c r="E65" s="4">
        <v>45696</v>
      </c>
      <c r="F65" t="s">
        <v>32</v>
      </c>
      <c r="G65" t="s">
        <v>29</v>
      </c>
      <c r="H65" t="s">
        <v>25</v>
      </c>
      <c r="I65" t="s">
        <v>13</v>
      </c>
      <c r="J65">
        <v>5</v>
      </c>
      <c r="K65" s="1">
        <v>800</v>
      </c>
      <c r="L65" s="1">
        <f>Table1[[#This Row],[Unit Price]]*Table1[[#This Row],[Units]]</f>
        <v>4000</v>
      </c>
      <c r="M65" s="1">
        <v>1060</v>
      </c>
      <c r="N65" t="s">
        <v>14</v>
      </c>
    </row>
    <row r="66" spans="4:14" x14ac:dyDescent="0.25">
      <c r="D66">
        <v>1065</v>
      </c>
      <c r="E66" s="4">
        <v>45818</v>
      </c>
      <c r="F66" t="s">
        <v>27</v>
      </c>
      <c r="G66" t="s">
        <v>11</v>
      </c>
      <c r="H66" t="s">
        <v>30</v>
      </c>
      <c r="I66" t="s">
        <v>22</v>
      </c>
      <c r="J66">
        <v>6</v>
      </c>
      <c r="K66" s="1">
        <v>15000</v>
      </c>
      <c r="L66" s="1">
        <f>Table1[[#This Row],[Unit Price]]*Table1[[#This Row],[Units]]</f>
        <v>90000</v>
      </c>
      <c r="M66" s="1">
        <v>27932</v>
      </c>
      <c r="N66" t="s">
        <v>26</v>
      </c>
    </row>
    <row r="67" spans="4:14" x14ac:dyDescent="0.25">
      <c r="D67">
        <v>1066</v>
      </c>
      <c r="E67" s="4">
        <v>45668</v>
      </c>
      <c r="F67" t="s">
        <v>10</v>
      </c>
      <c r="G67" t="s">
        <v>24</v>
      </c>
      <c r="H67" t="s">
        <v>33</v>
      </c>
      <c r="I67" t="s">
        <v>28</v>
      </c>
      <c r="J67">
        <v>2</v>
      </c>
      <c r="K67" s="1">
        <v>2000</v>
      </c>
      <c r="L67" s="1">
        <f>Table1[[#This Row],[Unit Price]]*Table1[[#This Row],[Units]]</f>
        <v>4000</v>
      </c>
      <c r="M67" s="1">
        <v>1091</v>
      </c>
      <c r="N67" t="s">
        <v>14</v>
      </c>
    </row>
    <row r="68" spans="4:14" x14ac:dyDescent="0.25">
      <c r="D68">
        <v>1067</v>
      </c>
      <c r="E68" s="4">
        <v>45783</v>
      </c>
      <c r="F68" t="s">
        <v>15</v>
      </c>
      <c r="G68" t="s">
        <v>29</v>
      </c>
      <c r="H68" t="s">
        <v>12</v>
      </c>
      <c r="I68" t="s">
        <v>28</v>
      </c>
      <c r="J68">
        <v>3</v>
      </c>
      <c r="K68" s="1">
        <v>2000</v>
      </c>
      <c r="L68" s="1">
        <f>Table1[[#This Row],[Unit Price]]*Table1[[#This Row],[Units]]</f>
        <v>6000</v>
      </c>
      <c r="M68" s="1">
        <v>1505</v>
      </c>
      <c r="N68" t="s">
        <v>14</v>
      </c>
    </row>
    <row r="69" spans="4:14" x14ac:dyDescent="0.25">
      <c r="D69">
        <v>1068</v>
      </c>
      <c r="E69" s="4">
        <v>45815</v>
      </c>
      <c r="F69" t="s">
        <v>27</v>
      </c>
      <c r="G69" t="s">
        <v>24</v>
      </c>
      <c r="H69" t="s">
        <v>35</v>
      </c>
      <c r="I69" t="s">
        <v>34</v>
      </c>
      <c r="J69">
        <v>3</v>
      </c>
      <c r="K69" s="1">
        <v>30000</v>
      </c>
      <c r="L69" s="1">
        <f>Table1[[#This Row],[Unit Price]]*Table1[[#This Row],[Units]]</f>
        <v>90000</v>
      </c>
      <c r="M69" s="1">
        <v>16259</v>
      </c>
      <c r="N69" t="s">
        <v>26</v>
      </c>
    </row>
    <row r="70" spans="4:14" x14ac:dyDescent="0.25">
      <c r="D70">
        <v>1069</v>
      </c>
      <c r="E70" s="4">
        <v>45784</v>
      </c>
      <c r="F70" t="s">
        <v>15</v>
      </c>
      <c r="G70" t="s">
        <v>29</v>
      </c>
      <c r="H70" t="s">
        <v>31</v>
      </c>
      <c r="I70" t="s">
        <v>13</v>
      </c>
      <c r="J70">
        <v>5</v>
      </c>
      <c r="K70" s="1">
        <v>800</v>
      </c>
      <c r="L70" s="1">
        <f>Table1[[#This Row],[Unit Price]]*Table1[[#This Row],[Units]]</f>
        <v>4000</v>
      </c>
      <c r="M70" s="1">
        <v>724</v>
      </c>
      <c r="N70" t="s">
        <v>14</v>
      </c>
    </row>
    <row r="71" spans="4:14" x14ac:dyDescent="0.25">
      <c r="D71">
        <v>1070</v>
      </c>
      <c r="E71" s="4">
        <v>45776</v>
      </c>
      <c r="F71" t="s">
        <v>20</v>
      </c>
      <c r="G71" t="s">
        <v>11</v>
      </c>
      <c r="H71" t="s">
        <v>35</v>
      </c>
      <c r="I71" t="s">
        <v>13</v>
      </c>
      <c r="J71">
        <v>3</v>
      </c>
      <c r="K71" s="1">
        <v>800</v>
      </c>
      <c r="L71" s="1">
        <f>Table1[[#This Row],[Unit Price]]*Table1[[#This Row],[Units]]</f>
        <v>2400</v>
      </c>
      <c r="M71" s="1">
        <v>603</v>
      </c>
      <c r="N71" t="s">
        <v>14</v>
      </c>
    </row>
    <row r="72" spans="4:14" x14ac:dyDescent="0.25">
      <c r="D72">
        <v>1071</v>
      </c>
      <c r="E72" s="4">
        <v>45818</v>
      </c>
      <c r="F72" t="s">
        <v>27</v>
      </c>
      <c r="G72" t="s">
        <v>29</v>
      </c>
      <c r="H72" t="s">
        <v>30</v>
      </c>
      <c r="I72" t="s">
        <v>13</v>
      </c>
      <c r="J72">
        <v>7</v>
      </c>
      <c r="K72" s="1">
        <v>800</v>
      </c>
      <c r="L72" s="1">
        <f>Table1[[#This Row],[Unit Price]]*Table1[[#This Row],[Units]]</f>
        <v>5600</v>
      </c>
      <c r="M72" s="1">
        <v>1833</v>
      </c>
      <c r="N72" t="s">
        <v>14</v>
      </c>
    </row>
    <row r="73" spans="4:14" x14ac:dyDescent="0.25">
      <c r="D73">
        <v>1072</v>
      </c>
      <c r="E73" s="4">
        <v>45720</v>
      </c>
      <c r="F73" t="s">
        <v>23</v>
      </c>
      <c r="G73" t="s">
        <v>24</v>
      </c>
      <c r="H73" t="s">
        <v>25</v>
      </c>
      <c r="I73" t="s">
        <v>13</v>
      </c>
      <c r="J73">
        <v>6</v>
      </c>
      <c r="K73" s="1">
        <v>800</v>
      </c>
      <c r="L73" s="1">
        <f>Table1[[#This Row],[Unit Price]]*Table1[[#This Row],[Units]]</f>
        <v>4800</v>
      </c>
      <c r="M73" s="1">
        <v>1324</v>
      </c>
      <c r="N73" t="s">
        <v>14</v>
      </c>
    </row>
    <row r="74" spans="4:14" x14ac:dyDescent="0.25">
      <c r="D74">
        <v>1073</v>
      </c>
      <c r="E74" s="4">
        <v>45718</v>
      </c>
      <c r="F74" t="s">
        <v>23</v>
      </c>
      <c r="G74" t="s">
        <v>29</v>
      </c>
      <c r="H74" t="s">
        <v>30</v>
      </c>
      <c r="I74" t="s">
        <v>18</v>
      </c>
      <c r="J74">
        <v>9</v>
      </c>
      <c r="K74" s="1">
        <v>60000</v>
      </c>
      <c r="L74" s="1">
        <f>Table1[[#This Row],[Unit Price]]*Table1[[#This Row],[Units]]</f>
        <v>540000</v>
      </c>
      <c r="M74" s="1">
        <v>136877</v>
      </c>
      <c r="N74" t="s">
        <v>19</v>
      </c>
    </row>
    <row r="75" spans="4:14" x14ac:dyDescent="0.25">
      <c r="D75">
        <v>1074</v>
      </c>
      <c r="E75" s="4">
        <v>45832</v>
      </c>
      <c r="F75" t="s">
        <v>27</v>
      </c>
      <c r="G75" t="s">
        <v>16</v>
      </c>
      <c r="H75" t="s">
        <v>17</v>
      </c>
      <c r="I75" t="s">
        <v>28</v>
      </c>
      <c r="J75">
        <v>3</v>
      </c>
      <c r="K75" s="1">
        <v>2000</v>
      </c>
      <c r="L75" s="1">
        <f>Table1[[#This Row],[Unit Price]]*Table1[[#This Row],[Units]]</f>
        <v>6000</v>
      </c>
      <c r="M75" s="1">
        <v>1809</v>
      </c>
      <c r="N75" t="s">
        <v>14</v>
      </c>
    </row>
    <row r="76" spans="4:14" x14ac:dyDescent="0.25">
      <c r="D76">
        <v>1075</v>
      </c>
      <c r="E76" s="4">
        <v>45661</v>
      </c>
      <c r="F76" t="s">
        <v>10</v>
      </c>
      <c r="G76" t="s">
        <v>29</v>
      </c>
      <c r="H76" t="s">
        <v>30</v>
      </c>
      <c r="I76" t="s">
        <v>34</v>
      </c>
      <c r="J76">
        <v>6</v>
      </c>
      <c r="K76" s="1">
        <v>30000</v>
      </c>
      <c r="L76" s="1">
        <f>Table1[[#This Row],[Unit Price]]*Table1[[#This Row],[Units]]</f>
        <v>180000</v>
      </c>
      <c r="M76" s="1">
        <v>60399</v>
      </c>
      <c r="N76" t="s">
        <v>26</v>
      </c>
    </row>
    <row r="77" spans="4:14" x14ac:dyDescent="0.25">
      <c r="D77">
        <v>1076</v>
      </c>
      <c r="E77" s="4">
        <v>45814</v>
      </c>
      <c r="F77" t="s">
        <v>27</v>
      </c>
      <c r="G77" t="s">
        <v>29</v>
      </c>
      <c r="H77" t="s">
        <v>21</v>
      </c>
      <c r="I77" t="s">
        <v>22</v>
      </c>
      <c r="J77">
        <v>10</v>
      </c>
      <c r="K77" s="1">
        <v>15000</v>
      </c>
      <c r="L77" s="1">
        <f>Table1[[#This Row],[Unit Price]]*Table1[[#This Row],[Units]]</f>
        <v>150000</v>
      </c>
      <c r="M77" s="1">
        <v>30829</v>
      </c>
      <c r="N77" t="s">
        <v>26</v>
      </c>
    </row>
    <row r="78" spans="4:14" x14ac:dyDescent="0.25">
      <c r="D78">
        <v>1077</v>
      </c>
      <c r="E78" s="4">
        <v>45751</v>
      </c>
      <c r="F78" t="s">
        <v>20</v>
      </c>
      <c r="G78" t="s">
        <v>29</v>
      </c>
      <c r="H78" t="s">
        <v>33</v>
      </c>
      <c r="I78" t="s">
        <v>18</v>
      </c>
      <c r="J78">
        <v>9</v>
      </c>
      <c r="K78" s="1">
        <v>60000</v>
      </c>
      <c r="L78" s="1">
        <f>Table1[[#This Row],[Unit Price]]*Table1[[#This Row],[Units]]</f>
        <v>540000</v>
      </c>
      <c r="M78" s="1">
        <v>161848</v>
      </c>
      <c r="N78" t="s">
        <v>19</v>
      </c>
    </row>
    <row r="79" spans="4:14" x14ac:dyDescent="0.25">
      <c r="D79">
        <v>1078</v>
      </c>
      <c r="E79" s="4">
        <v>45808</v>
      </c>
      <c r="F79" t="s">
        <v>15</v>
      </c>
      <c r="G79" t="s">
        <v>29</v>
      </c>
      <c r="H79" t="s">
        <v>30</v>
      </c>
      <c r="I79" t="s">
        <v>13</v>
      </c>
      <c r="J79">
        <v>8</v>
      </c>
      <c r="K79" s="1">
        <v>800</v>
      </c>
      <c r="L79" s="1">
        <f>Table1[[#This Row],[Unit Price]]*Table1[[#This Row],[Units]]</f>
        <v>6400</v>
      </c>
      <c r="M79" s="1">
        <v>1829</v>
      </c>
      <c r="N79" t="s">
        <v>14</v>
      </c>
    </row>
    <row r="80" spans="4:14" x14ac:dyDescent="0.25">
      <c r="D80">
        <v>1079</v>
      </c>
      <c r="E80" s="4">
        <v>45703</v>
      </c>
      <c r="F80" t="s">
        <v>32</v>
      </c>
      <c r="G80" t="s">
        <v>24</v>
      </c>
      <c r="H80" t="s">
        <v>17</v>
      </c>
      <c r="I80" t="s">
        <v>34</v>
      </c>
      <c r="J80">
        <v>7</v>
      </c>
      <c r="K80" s="1">
        <v>30000</v>
      </c>
      <c r="L80" s="1">
        <f>Table1[[#This Row],[Unit Price]]*Table1[[#This Row],[Units]]</f>
        <v>210000</v>
      </c>
      <c r="M80" s="1">
        <v>37942</v>
      </c>
      <c r="N80" t="s">
        <v>19</v>
      </c>
    </row>
    <row r="81" spans="4:14" x14ac:dyDescent="0.25">
      <c r="D81">
        <v>1080</v>
      </c>
      <c r="E81" s="4">
        <v>45810</v>
      </c>
      <c r="F81" t="s">
        <v>27</v>
      </c>
      <c r="G81" t="s">
        <v>11</v>
      </c>
      <c r="H81" t="s">
        <v>35</v>
      </c>
      <c r="I81" t="s">
        <v>34</v>
      </c>
      <c r="J81">
        <v>10</v>
      </c>
      <c r="K81" s="1">
        <v>30000</v>
      </c>
      <c r="L81" s="1">
        <f>Table1[[#This Row],[Unit Price]]*Table1[[#This Row],[Units]]</f>
        <v>300000</v>
      </c>
      <c r="M81" s="1">
        <v>73543</v>
      </c>
      <c r="N81" t="s">
        <v>19</v>
      </c>
    </row>
    <row r="82" spans="4:14" x14ac:dyDescent="0.25">
      <c r="D82">
        <v>1081</v>
      </c>
      <c r="E82" s="4">
        <v>45800</v>
      </c>
      <c r="F82" t="s">
        <v>15</v>
      </c>
      <c r="G82" t="s">
        <v>11</v>
      </c>
      <c r="H82" t="s">
        <v>25</v>
      </c>
      <c r="I82" t="s">
        <v>13</v>
      </c>
      <c r="J82">
        <v>4</v>
      </c>
      <c r="K82" s="1">
        <v>800</v>
      </c>
      <c r="L82" s="1">
        <f>Table1[[#This Row],[Unit Price]]*Table1[[#This Row],[Units]]</f>
        <v>3200</v>
      </c>
      <c r="M82" s="1">
        <v>499</v>
      </c>
      <c r="N82" t="s">
        <v>14</v>
      </c>
    </row>
    <row r="83" spans="4:14" x14ac:dyDescent="0.25">
      <c r="D83">
        <v>1082</v>
      </c>
      <c r="E83" s="4">
        <v>45708</v>
      </c>
      <c r="F83" t="s">
        <v>32</v>
      </c>
      <c r="G83" t="s">
        <v>16</v>
      </c>
      <c r="H83" t="s">
        <v>17</v>
      </c>
      <c r="I83" t="s">
        <v>13</v>
      </c>
      <c r="J83">
        <v>4</v>
      </c>
      <c r="K83" s="1">
        <v>800</v>
      </c>
      <c r="L83" s="1">
        <f>Table1[[#This Row],[Unit Price]]*Table1[[#This Row],[Units]]</f>
        <v>3200</v>
      </c>
      <c r="M83" s="1">
        <v>1081</v>
      </c>
      <c r="N83" t="s">
        <v>14</v>
      </c>
    </row>
    <row r="84" spans="4:14" x14ac:dyDescent="0.25">
      <c r="D84">
        <v>1083</v>
      </c>
      <c r="E84" s="4">
        <v>45762</v>
      </c>
      <c r="F84" t="s">
        <v>20</v>
      </c>
      <c r="G84" t="s">
        <v>29</v>
      </c>
      <c r="H84" t="s">
        <v>21</v>
      </c>
      <c r="I84" t="s">
        <v>34</v>
      </c>
      <c r="J84">
        <v>2</v>
      </c>
      <c r="K84" s="1">
        <v>30000</v>
      </c>
      <c r="L84" s="1">
        <f>Table1[[#This Row],[Unit Price]]*Table1[[#This Row],[Units]]</f>
        <v>60000</v>
      </c>
      <c r="M84" s="1">
        <v>11343</v>
      </c>
      <c r="N84" t="s">
        <v>26</v>
      </c>
    </row>
    <row r="85" spans="4:14" x14ac:dyDescent="0.25">
      <c r="D85">
        <v>1084</v>
      </c>
      <c r="E85" s="4">
        <v>45667</v>
      </c>
      <c r="F85" t="s">
        <v>10</v>
      </c>
      <c r="G85" t="s">
        <v>16</v>
      </c>
      <c r="H85" t="s">
        <v>33</v>
      </c>
      <c r="I85" t="s">
        <v>28</v>
      </c>
      <c r="J85">
        <v>7</v>
      </c>
      <c r="K85" s="1">
        <v>2000</v>
      </c>
      <c r="L85" s="1">
        <f>Table1[[#This Row],[Unit Price]]*Table1[[#This Row],[Units]]</f>
        <v>14000</v>
      </c>
      <c r="M85" s="1">
        <v>2309</v>
      </c>
      <c r="N85" t="s">
        <v>14</v>
      </c>
    </row>
    <row r="86" spans="4:14" x14ac:dyDescent="0.25">
      <c r="D86">
        <v>1085</v>
      </c>
      <c r="E86" s="4">
        <v>45721</v>
      </c>
      <c r="F86" t="s">
        <v>23</v>
      </c>
      <c r="G86" t="s">
        <v>29</v>
      </c>
      <c r="H86" t="s">
        <v>31</v>
      </c>
      <c r="I86" t="s">
        <v>22</v>
      </c>
      <c r="J86">
        <v>4</v>
      </c>
      <c r="K86" s="1">
        <v>15000</v>
      </c>
      <c r="L86" s="1">
        <f>Table1[[#This Row],[Unit Price]]*Table1[[#This Row],[Units]]</f>
        <v>60000</v>
      </c>
      <c r="M86" s="1">
        <v>16387</v>
      </c>
      <c r="N86" t="s">
        <v>26</v>
      </c>
    </row>
    <row r="87" spans="4:14" x14ac:dyDescent="0.25">
      <c r="D87">
        <v>1086</v>
      </c>
      <c r="E87" s="4">
        <v>45724</v>
      </c>
      <c r="F87" t="s">
        <v>23</v>
      </c>
      <c r="G87" t="s">
        <v>11</v>
      </c>
      <c r="H87" t="s">
        <v>17</v>
      </c>
      <c r="I87" t="s">
        <v>18</v>
      </c>
      <c r="J87">
        <v>1</v>
      </c>
      <c r="K87" s="1">
        <v>60000</v>
      </c>
      <c r="L87" s="1">
        <f>Table1[[#This Row],[Unit Price]]*Table1[[#This Row],[Units]]</f>
        <v>60000</v>
      </c>
      <c r="M87" s="1">
        <v>10359</v>
      </c>
      <c r="N87" t="s">
        <v>26</v>
      </c>
    </row>
    <row r="88" spans="4:14" x14ac:dyDescent="0.25">
      <c r="D88">
        <v>1087</v>
      </c>
      <c r="E88" s="4">
        <v>45716</v>
      </c>
      <c r="F88" t="s">
        <v>32</v>
      </c>
      <c r="G88" t="s">
        <v>16</v>
      </c>
      <c r="H88" t="s">
        <v>30</v>
      </c>
      <c r="I88" t="s">
        <v>22</v>
      </c>
      <c r="J88">
        <v>7</v>
      </c>
      <c r="K88" s="1">
        <v>15000</v>
      </c>
      <c r="L88" s="1">
        <f>Table1[[#This Row],[Unit Price]]*Table1[[#This Row],[Units]]</f>
        <v>105000</v>
      </c>
      <c r="M88" s="1">
        <v>29412</v>
      </c>
      <c r="N88" t="s">
        <v>26</v>
      </c>
    </row>
    <row r="89" spans="4:14" x14ac:dyDescent="0.25">
      <c r="D89">
        <v>1088</v>
      </c>
      <c r="E89" s="4">
        <v>45816</v>
      </c>
      <c r="F89" t="s">
        <v>27</v>
      </c>
      <c r="G89" t="s">
        <v>29</v>
      </c>
      <c r="H89" t="s">
        <v>17</v>
      </c>
      <c r="I89" t="s">
        <v>28</v>
      </c>
      <c r="J89">
        <v>5</v>
      </c>
      <c r="K89" s="1">
        <v>2000</v>
      </c>
      <c r="L89" s="1">
        <f>Table1[[#This Row],[Unit Price]]*Table1[[#This Row],[Units]]</f>
        <v>10000</v>
      </c>
      <c r="M89" s="1">
        <v>3430</v>
      </c>
      <c r="N89" t="s">
        <v>14</v>
      </c>
    </row>
    <row r="90" spans="4:14" x14ac:dyDescent="0.25">
      <c r="D90">
        <v>1089</v>
      </c>
      <c r="E90" s="4">
        <v>45748</v>
      </c>
      <c r="F90" t="s">
        <v>20</v>
      </c>
      <c r="G90" t="s">
        <v>24</v>
      </c>
      <c r="H90" t="s">
        <v>30</v>
      </c>
      <c r="I90" t="s">
        <v>18</v>
      </c>
      <c r="J90">
        <v>10</v>
      </c>
      <c r="K90" s="1">
        <v>60000</v>
      </c>
      <c r="L90" s="1">
        <f>Table1[[#This Row],[Unit Price]]*Table1[[#This Row],[Units]]</f>
        <v>600000</v>
      </c>
      <c r="M90" s="1">
        <v>107337</v>
      </c>
      <c r="N90" t="s">
        <v>19</v>
      </c>
    </row>
    <row r="91" spans="4:14" x14ac:dyDescent="0.25">
      <c r="D91">
        <v>1090</v>
      </c>
      <c r="E91" s="4">
        <v>45759</v>
      </c>
      <c r="F91" t="s">
        <v>20</v>
      </c>
      <c r="G91" t="s">
        <v>16</v>
      </c>
      <c r="H91" t="s">
        <v>25</v>
      </c>
      <c r="I91" t="s">
        <v>34</v>
      </c>
      <c r="J91">
        <v>5</v>
      </c>
      <c r="K91" s="1">
        <v>30000</v>
      </c>
      <c r="L91" s="1">
        <f>Table1[[#This Row],[Unit Price]]*Table1[[#This Row],[Units]]</f>
        <v>150000</v>
      </c>
      <c r="M91" s="1">
        <v>27452</v>
      </c>
      <c r="N91" t="s">
        <v>26</v>
      </c>
    </row>
    <row r="92" spans="4:14" x14ac:dyDescent="0.25">
      <c r="D92">
        <v>1091</v>
      </c>
      <c r="E92" s="4">
        <v>45677</v>
      </c>
      <c r="F92" t="s">
        <v>10</v>
      </c>
      <c r="G92" t="s">
        <v>29</v>
      </c>
      <c r="H92" t="s">
        <v>33</v>
      </c>
      <c r="I92" t="s">
        <v>13</v>
      </c>
      <c r="J92">
        <v>8</v>
      </c>
      <c r="K92" s="1">
        <v>800</v>
      </c>
      <c r="L92" s="1">
        <f>Table1[[#This Row],[Unit Price]]*Table1[[#This Row],[Units]]</f>
        <v>6400</v>
      </c>
      <c r="M92" s="1">
        <v>1198</v>
      </c>
      <c r="N92" t="s">
        <v>14</v>
      </c>
    </row>
    <row r="93" spans="4:14" x14ac:dyDescent="0.25">
      <c r="D93">
        <v>1092</v>
      </c>
      <c r="E93" s="4">
        <v>45672</v>
      </c>
      <c r="F93" t="s">
        <v>10</v>
      </c>
      <c r="G93" t="s">
        <v>16</v>
      </c>
      <c r="H93" t="s">
        <v>30</v>
      </c>
      <c r="I93" t="s">
        <v>22</v>
      </c>
      <c r="J93">
        <v>4</v>
      </c>
      <c r="K93" s="1">
        <v>15000</v>
      </c>
      <c r="L93" s="1">
        <f>Table1[[#This Row],[Unit Price]]*Table1[[#This Row],[Units]]</f>
        <v>60000</v>
      </c>
      <c r="M93" s="1">
        <v>10015</v>
      </c>
      <c r="N93" t="s">
        <v>26</v>
      </c>
    </row>
    <row r="94" spans="4:14" x14ac:dyDescent="0.25">
      <c r="D94">
        <v>1093</v>
      </c>
      <c r="E94" s="4">
        <v>45669</v>
      </c>
      <c r="F94" t="s">
        <v>10</v>
      </c>
      <c r="G94" t="s">
        <v>24</v>
      </c>
      <c r="H94" t="s">
        <v>31</v>
      </c>
      <c r="I94" t="s">
        <v>22</v>
      </c>
      <c r="J94">
        <v>4</v>
      </c>
      <c r="K94" s="1">
        <v>15000</v>
      </c>
      <c r="L94" s="1">
        <f>Table1[[#This Row],[Unit Price]]*Table1[[#This Row],[Units]]</f>
        <v>60000</v>
      </c>
      <c r="M94" s="1">
        <v>15755</v>
      </c>
      <c r="N94" t="s">
        <v>26</v>
      </c>
    </row>
    <row r="95" spans="4:14" x14ac:dyDescent="0.25">
      <c r="D95">
        <v>1094</v>
      </c>
      <c r="E95" s="4">
        <v>45798</v>
      </c>
      <c r="F95" t="s">
        <v>15</v>
      </c>
      <c r="G95" t="s">
        <v>16</v>
      </c>
      <c r="H95" t="s">
        <v>33</v>
      </c>
      <c r="I95" t="s">
        <v>34</v>
      </c>
      <c r="J95">
        <v>3</v>
      </c>
      <c r="K95" s="1">
        <v>30000</v>
      </c>
      <c r="L95" s="1">
        <f>Table1[[#This Row],[Unit Price]]*Table1[[#This Row],[Units]]</f>
        <v>90000</v>
      </c>
      <c r="M95" s="1">
        <v>29267</v>
      </c>
      <c r="N95" t="s">
        <v>26</v>
      </c>
    </row>
    <row r="96" spans="4:14" x14ac:dyDescent="0.25">
      <c r="D96">
        <v>1095</v>
      </c>
      <c r="E96" s="4">
        <v>45713</v>
      </c>
      <c r="F96" t="s">
        <v>32</v>
      </c>
      <c r="G96" t="s">
        <v>24</v>
      </c>
      <c r="H96" t="s">
        <v>17</v>
      </c>
      <c r="I96" t="s">
        <v>22</v>
      </c>
      <c r="J96">
        <v>1</v>
      </c>
      <c r="K96" s="1">
        <v>15000</v>
      </c>
      <c r="L96" s="1">
        <f>Table1[[#This Row],[Unit Price]]*Table1[[#This Row],[Units]]</f>
        <v>15000</v>
      </c>
      <c r="M96" s="1">
        <v>3682</v>
      </c>
      <c r="N96" t="s">
        <v>14</v>
      </c>
    </row>
    <row r="97" spans="4:14" x14ac:dyDescent="0.25">
      <c r="D97">
        <v>1096</v>
      </c>
      <c r="E97" s="4">
        <v>45814</v>
      </c>
      <c r="F97" t="s">
        <v>27</v>
      </c>
      <c r="G97" t="s">
        <v>16</v>
      </c>
      <c r="H97" t="s">
        <v>31</v>
      </c>
      <c r="I97" t="s">
        <v>22</v>
      </c>
      <c r="J97">
        <v>9</v>
      </c>
      <c r="K97" s="1">
        <v>15000</v>
      </c>
      <c r="L97" s="1">
        <f>Table1[[#This Row],[Unit Price]]*Table1[[#This Row],[Units]]</f>
        <v>135000</v>
      </c>
      <c r="M97" s="1">
        <v>39370</v>
      </c>
      <c r="N97" t="s">
        <v>26</v>
      </c>
    </row>
    <row r="98" spans="4:14" x14ac:dyDescent="0.25">
      <c r="D98">
        <v>1097</v>
      </c>
      <c r="E98" s="4">
        <v>45821</v>
      </c>
      <c r="F98" t="s">
        <v>27</v>
      </c>
      <c r="G98" t="s">
        <v>16</v>
      </c>
      <c r="H98" t="s">
        <v>12</v>
      </c>
      <c r="I98" t="s">
        <v>22</v>
      </c>
      <c r="J98">
        <v>9</v>
      </c>
      <c r="K98" s="1">
        <v>15000</v>
      </c>
      <c r="L98" s="1">
        <f>Table1[[#This Row],[Unit Price]]*Table1[[#This Row],[Units]]</f>
        <v>135000</v>
      </c>
      <c r="M98" s="1">
        <v>23229</v>
      </c>
      <c r="N98" t="s">
        <v>26</v>
      </c>
    </row>
    <row r="99" spans="4:14" x14ac:dyDescent="0.25">
      <c r="D99">
        <v>1098</v>
      </c>
      <c r="E99" s="4">
        <v>45734</v>
      </c>
      <c r="F99" t="s">
        <v>23</v>
      </c>
      <c r="G99" t="s">
        <v>11</v>
      </c>
      <c r="H99" t="s">
        <v>35</v>
      </c>
      <c r="I99" t="s">
        <v>34</v>
      </c>
      <c r="J99">
        <v>10</v>
      </c>
      <c r="K99" s="1">
        <v>30000</v>
      </c>
      <c r="L99" s="1">
        <f>Table1[[#This Row],[Unit Price]]*Table1[[#This Row],[Units]]</f>
        <v>300000</v>
      </c>
      <c r="M99" s="1">
        <v>82460</v>
      </c>
      <c r="N99" t="s">
        <v>19</v>
      </c>
    </row>
    <row r="100" spans="4:14" x14ac:dyDescent="0.25">
      <c r="D100">
        <v>1099</v>
      </c>
      <c r="E100" s="4">
        <v>45725</v>
      </c>
      <c r="F100" t="s">
        <v>23</v>
      </c>
      <c r="G100" t="s">
        <v>29</v>
      </c>
      <c r="H100" t="s">
        <v>33</v>
      </c>
      <c r="I100" t="s">
        <v>34</v>
      </c>
      <c r="J100">
        <v>4</v>
      </c>
      <c r="K100" s="1">
        <v>30000</v>
      </c>
      <c r="L100" s="1">
        <f>Table1[[#This Row],[Unit Price]]*Table1[[#This Row],[Units]]</f>
        <v>120000</v>
      </c>
      <c r="M100" s="1">
        <v>19186</v>
      </c>
      <c r="N100" t="s">
        <v>26</v>
      </c>
    </row>
    <row r="101" spans="4:14" x14ac:dyDescent="0.25">
      <c r="D101">
        <v>1100</v>
      </c>
      <c r="E101" s="4">
        <v>45729</v>
      </c>
      <c r="F101" t="s">
        <v>23</v>
      </c>
      <c r="G101" t="s">
        <v>24</v>
      </c>
      <c r="H101" t="s">
        <v>30</v>
      </c>
      <c r="I101" t="s">
        <v>13</v>
      </c>
      <c r="J101">
        <v>1</v>
      </c>
      <c r="K101" s="1">
        <v>800</v>
      </c>
      <c r="L101" s="1">
        <f>Table1[[#This Row],[Unit Price]]*Table1[[#This Row],[Units]]</f>
        <v>800</v>
      </c>
      <c r="M101" s="1">
        <v>238</v>
      </c>
      <c r="N101" t="s">
        <v>14</v>
      </c>
    </row>
    <row r="102" spans="4:14" x14ac:dyDescent="0.25">
      <c r="D102">
        <v>1101</v>
      </c>
      <c r="E102" s="4">
        <v>45689</v>
      </c>
      <c r="F102" t="s">
        <v>32</v>
      </c>
      <c r="G102" t="s">
        <v>11</v>
      </c>
      <c r="H102" t="s">
        <v>31</v>
      </c>
      <c r="I102" t="s">
        <v>13</v>
      </c>
      <c r="J102">
        <v>6</v>
      </c>
      <c r="K102" s="1">
        <v>800</v>
      </c>
      <c r="L102" s="1">
        <f>Table1[[#This Row],[Unit Price]]*Table1[[#This Row],[Units]]</f>
        <v>4800</v>
      </c>
      <c r="M102" s="1">
        <v>1437</v>
      </c>
      <c r="N102" t="s">
        <v>14</v>
      </c>
    </row>
    <row r="103" spans="4:14" x14ac:dyDescent="0.25">
      <c r="D103">
        <v>1102</v>
      </c>
      <c r="E103" s="4">
        <v>45830</v>
      </c>
      <c r="F103" t="s">
        <v>27</v>
      </c>
      <c r="G103" t="s">
        <v>29</v>
      </c>
      <c r="H103" t="s">
        <v>33</v>
      </c>
      <c r="I103" t="s">
        <v>22</v>
      </c>
      <c r="J103">
        <v>9</v>
      </c>
      <c r="K103" s="1">
        <v>15000</v>
      </c>
      <c r="L103" s="1">
        <f>Table1[[#This Row],[Unit Price]]*Table1[[#This Row],[Units]]</f>
        <v>135000</v>
      </c>
      <c r="M103" s="1">
        <v>22998</v>
      </c>
      <c r="N103" t="s">
        <v>26</v>
      </c>
    </row>
    <row r="104" spans="4:14" x14ac:dyDescent="0.25">
      <c r="D104">
        <v>1103</v>
      </c>
      <c r="E104" s="4">
        <v>45747</v>
      </c>
      <c r="F104" t="s">
        <v>23</v>
      </c>
      <c r="G104" t="s">
        <v>29</v>
      </c>
      <c r="H104" t="s">
        <v>35</v>
      </c>
      <c r="I104" t="s">
        <v>18</v>
      </c>
      <c r="J104">
        <v>4</v>
      </c>
      <c r="K104" s="1">
        <v>60000</v>
      </c>
      <c r="L104" s="1">
        <f>Table1[[#This Row],[Unit Price]]*Table1[[#This Row],[Units]]</f>
        <v>240000</v>
      </c>
      <c r="M104" s="1">
        <v>63887</v>
      </c>
      <c r="N104" t="s">
        <v>19</v>
      </c>
    </row>
    <row r="105" spans="4:14" x14ac:dyDescent="0.25">
      <c r="D105">
        <v>1104</v>
      </c>
      <c r="E105" s="4">
        <v>45726</v>
      </c>
      <c r="F105" t="s">
        <v>23</v>
      </c>
      <c r="G105" t="s">
        <v>29</v>
      </c>
      <c r="H105" t="s">
        <v>31</v>
      </c>
      <c r="I105" t="s">
        <v>22</v>
      </c>
      <c r="J105">
        <v>5</v>
      </c>
      <c r="K105" s="1">
        <v>15000</v>
      </c>
      <c r="L105" s="1">
        <f>Table1[[#This Row],[Unit Price]]*Table1[[#This Row],[Units]]</f>
        <v>75000</v>
      </c>
      <c r="M105" s="1">
        <v>18371</v>
      </c>
      <c r="N105" t="s">
        <v>26</v>
      </c>
    </row>
    <row r="106" spans="4:14" x14ac:dyDescent="0.25">
      <c r="D106">
        <v>1105</v>
      </c>
      <c r="E106" s="4">
        <v>45821</v>
      </c>
      <c r="F106" t="s">
        <v>27</v>
      </c>
      <c r="G106" t="s">
        <v>16</v>
      </c>
      <c r="H106" t="s">
        <v>31</v>
      </c>
      <c r="I106" t="s">
        <v>28</v>
      </c>
      <c r="J106">
        <v>6</v>
      </c>
      <c r="K106" s="1">
        <v>2000</v>
      </c>
      <c r="L106" s="1">
        <f>Table1[[#This Row],[Unit Price]]*Table1[[#This Row],[Units]]</f>
        <v>12000</v>
      </c>
      <c r="M106" s="1">
        <v>3237</v>
      </c>
      <c r="N106" t="s">
        <v>14</v>
      </c>
    </row>
    <row r="107" spans="4:14" x14ac:dyDescent="0.25">
      <c r="D107">
        <v>1106</v>
      </c>
      <c r="E107" s="4">
        <v>45694</v>
      </c>
      <c r="F107" t="s">
        <v>32</v>
      </c>
      <c r="G107" t="s">
        <v>11</v>
      </c>
      <c r="H107" t="s">
        <v>33</v>
      </c>
      <c r="I107" t="s">
        <v>34</v>
      </c>
      <c r="J107">
        <v>9</v>
      </c>
      <c r="K107" s="1">
        <v>30000</v>
      </c>
      <c r="L107" s="1">
        <f>Table1[[#This Row],[Unit Price]]*Table1[[#This Row],[Units]]</f>
        <v>270000</v>
      </c>
      <c r="M107" s="1">
        <v>86388</v>
      </c>
      <c r="N107" t="s">
        <v>19</v>
      </c>
    </row>
    <row r="108" spans="4:14" x14ac:dyDescent="0.25">
      <c r="D108">
        <v>1107</v>
      </c>
      <c r="E108" s="4">
        <v>45806</v>
      </c>
      <c r="F108" t="s">
        <v>15</v>
      </c>
      <c r="G108" t="s">
        <v>29</v>
      </c>
      <c r="H108" t="s">
        <v>25</v>
      </c>
      <c r="I108" t="s">
        <v>13</v>
      </c>
      <c r="J108">
        <v>7</v>
      </c>
      <c r="K108" s="1">
        <v>800</v>
      </c>
      <c r="L108" s="1">
        <f>Table1[[#This Row],[Unit Price]]*Table1[[#This Row],[Units]]</f>
        <v>5600</v>
      </c>
      <c r="M108" s="1">
        <v>1439</v>
      </c>
      <c r="N108" t="s">
        <v>14</v>
      </c>
    </row>
    <row r="109" spans="4:14" x14ac:dyDescent="0.25">
      <c r="D109">
        <v>1108</v>
      </c>
      <c r="E109" s="4">
        <v>45740</v>
      </c>
      <c r="F109" t="s">
        <v>23</v>
      </c>
      <c r="G109" t="s">
        <v>16</v>
      </c>
      <c r="H109" t="s">
        <v>12</v>
      </c>
      <c r="I109" t="s">
        <v>13</v>
      </c>
      <c r="J109">
        <v>6</v>
      </c>
      <c r="K109" s="1">
        <v>800</v>
      </c>
      <c r="L109" s="1">
        <f>Table1[[#This Row],[Unit Price]]*Table1[[#This Row],[Units]]</f>
        <v>4800</v>
      </c>
      <c r="M109" s="1">
        <v>1030</v>
      </c>
      <c r="N109" t="s">
        <v>14</v>
      </c>
    </row>
    <row r="110" spans="4:14" x14ac:dyDescent="0.25">
      <c r="D110">
        <v>1109</v>
      </c>
      <c r="E110" s="4">
        <v>45731</v>
      </c>
      <c r="F110" t="s">
        <v>23</v>
      </c>
      <c r="G110" t="s">
        <v>24</v>
      </c>
      <c r="H110" t="s">
        <v>21</v>
      </c>
      <c r="I110" t="s">
        <v>34</v>
      </c>
      <c r="J110">
        <v>6</v>
      </c>
      <c r="K110" s="1">
        <v>30000</v>
      </c>
      <c r="L110" s="1">
        <f>Table1[[#This Row],[Unit Price]]*Table1[[#This Row],[Units]]</f>
        <v>180000</v>
      </c>
      <c r="M110" s="1">
        <v>45807</v>
      </c>
      <c r="N110" t="s">
        <v>26</v>
      </c>
    </row>
    <row r="111" spans="4:14" x14ac:dyDescent="0.25">
      <c r="D111">
        <v>1110</v>
      </c>
      <c r="E111" s="4">
        <v>45831</v>
      </c>
      <c r="F111" t="s">
        <v>27</v>
      </c>
      <c r="G111" t="s">
        <v>16</v>
      </c>
      <c r="H111" t="s">
        <v>21</v>
      </c>
      <c r="I111" t="s">
        <v>28</v>
      </c>
      <c r="J111">
        <v>7</v>
      </c>
      <c r="K111" s="1">
        <v>2000</v>
      </c>
      <c r="L111" s="1">
        <f>Table1[[#This Row],[Unit Price]]*Table1[[#This Row],[Units]]</f>
        <v>14000</v>
      </c>
      <c r="M111" s="1">
        <v>3124</v>
      </c>
      <c r="N111" t="s">
        <v>14</v>
      </c>
    </row>
    <row r="112" spans="4:14" x14ac:dyDescent="0.25">
      <c r="D112">
        <v>1111</v>
      </c>
      <c r="E112" s="4">
        <v>45785</v>
      </c>
      <c r="F112" t="s">
        <v>15</v>
      </c>
      <c r="G112" t="s">
        <v>11</v>
      </c>
      <c r="H112" t="s">
        <v>25</v>
      </c>
      <c r="I112" t="s">
        <v>28</v>
      </c>
      <c r="J112">
        <v>1</v>
      </c>
      <c r="K112" s="1">
        <v>2000</v>
      </c>
      <c r="L112" s="1">
        <f>Table1[[#This Row],[Unit Price]]*Table1[[#This Row],[Units]]</f>
        <v>2000</v>
      </c>
      <c r="M112" s="1">
        <v>376</v>
      </c>
      <c r="N112" t="s">
        <v>14</v>
      </c>
    </row>
    <row r="113" spans="4:14" x14ac:dyDescent="0.25">
      <c r="D113">
        <v>1112</v>
      </c>
      <c r="E113" s="4">
        <v>45701</v>
      </c>
      <c r="F113" t="s">
        <v>32</v>
      </c>
      <c r="G113" t="s">
        <v>29</v>
      </c>
      <c r="H113" t="s">
        <v>12</v>
      </c>
      <c r="I113" t="s">
        <v>28</v>
      </c>
      <c r="J113">
        <v>3</v>
      </c>
      <c r="K113" s="1">
        <v>2000</v>
      </c>
      <c r="L113" s="1">
        <f>Table1[[#This Row],[Unit Price]]*Table1[[#This Row],[Units]]</f>
        <v>6000</v>
      </c>
      <c r="M113" s="1">
        <v>1207</v>
      </c>
      <c r="N113" t="s">
        <v>14</v>
      </c>
    </row>
    <row r="114" spans="4:14" x14ac:dyDescent="0.25">
      <c r="D114">
        <v>1113</v>
      </c>
      <c r="E114" s="4">
        <v>45801</v>
      </c>
      <c r="F114" t="s">
        <v>15</v>
      </c>
      <c r="G114" t="s">
        <v>24</v>
      </c>
      <c r="H114" t="s">
        <v>30</v>
      </c>
      <c r="I114" t="s">
        <v>34</v>
      </c>
      <c r="J114">
        <v>7</v>
      </c>
      <c r="K114" s="1">
        <v>30000</v>
      </c>
      <c r="L114" s="1">
        <f>Table1[[#This Row],[Unit Price]]*Table1[[#This Row],[Units]]</f>
        <v>210000</v>
      </c>
      <c r="M114" s="1">
        <v>64371</v>
      </c>
      <c r="N114" t="s">
        <v>19</v>
      </c>
    </row>
    <row r="115" spans="4:14" x14ac:dyDescent="0.25">
      <c r="D115">
        <v>1114</v>
      </c>
      <c r="E115" s="4">
        <v>45744</v>
      </c>
      <c r="F115" t="s">
        <v>23</v>
      </c>
      <c r="G115" t="s">
        <v>24</v>
      </c>
      <c r="H115" t="s">
        <v>17</v>
      </c>
      <c r="I115" t="s">
        <v>13</v>
      </c>
      <c r="J115">
        <v>3</v>
      </c>
      <c r="K115" s="1">
        <v>800</v>
      </c>
      <c r="L115" s="1">
        <f>Table1[[#This Row],[Unit Price]]*Table1[[#This Row],[Units]]</f>
        <v>2400</v>
      </c>
      <c r="M115" s="1">
        <v>673</v>
      </c>
      <c r="N115" t="s">
        <v>14</v>
      </c>
    </row>
    <row r="116" spans="4:14" x14ac:dyDescent="0.25">
      <c r="D116">
        <v>1115</v>
      </c>
      <c r="E116" s="4">
        <v>45790</v>
      </c>
      <c r="F116" t="s">
        <v>15</v>
      </c>
      <c r="G116" t="s">
        <v>11</v>
      </c>
      <c r="H116" t="s">
        <v>30</v>
      </c>
      <c r="I116" t="s">
        <v>28</v>
      </c>
      <c r="J116">
        <v>8</v>
      </c>
      <c r="K116" s="1">
        <v>2000</v>
      </c>
      <c r="L116" s="1">
        <f>Table1[[#This Row],[Unit Price]]*Table1[[#This Row],[Units]]</f>
        <v>16000</v>
      </c>
      <c r="M116" s="1">
        <v>5165</v>
      </c>
      <c r="N116" t="s">
        <v>14</v>
      </c>
    </row>
    <row r="117" spans="4:14" x14ac:dyDescent="0.25">
      <c r="D117">
        <v>1116</v>
      </c>
      <c r="E117" s="4">
        <v>45685</v>
      </c>
      <c r="F117" t="s">
        <v>10</v>
      </c>
      <c r="G117" t="s">
        <v>24</v>
      </c>
      <c r="H117" t="s">
        <v>30</v>
      </c>
      <c r="I117" t="s">
        <v>22</v>
      </c>
      <c r="J117">
        <v>1</v>
      </c>
      <c r="K117" s="1">
        <v>15000</v>
      </c>
      <c r="L117" s="1">
        <f>Table1[[#This Row],[Unit Price]]*Table1[[#This Row],[Units]]</f>
        <v>15000</v>
      </c>
      <c r="M117" s="1">
        <v>3633</v>
      </c>
      <c r="N117" t="s">
        <v>14</v>
      </c>
    </row>
    <row r="118" spans="4:14" x14ac:dyDescent="0.25">
      <c r="D118">
        <v>1117</v>
      </c>
      <c r="E118" s="4">
        <v>45791</v>
      </c>
      <c r="F118" t="s">
        <v>15</v>
      </c>
      <c r="G118" t="s">
        <v>11</v>
      </c>
      <c r="H118" t="s">
        <v>17</v>
      </c>
      <c r="I118" t="s">
        <v>28</v>
      </c>
      <c r="J118">
        <v>6</v>
      </c>
      <c r="K118" s="1">
        <v>2000</v>
      </c>
      <c r="L118" s="1">
        <f>Table1[[#This Row],[Unit Price]]*Table1[[#This Row],[Units]]</f>
        <v>12000</v>
      </c>
      <c r="M118" s="1">
        <v>4102</v>
      </c>
      <c r="N118" t="s">
        <v>14</v>
      </c>
    </row>
    <row r="119" spans="4:14" x14ac:dyDescent="0.25">
      <c r="D119">
        <v>1118</v>
      </c>
      <c r="E119" s="4">
        <v>45822</v>
      </c>
      <c r="F119" t="s">
        <v>27</v>
      </c>
      <c r="G119" t="s">
        <v>11</v>
      </c>
      <c r="H119" t="s">
        <v>35</v>
      </c>
      <c r="I119" t="s">
        <v>22</v>
      </c>
      <c r="J119">
        <v>10</v>
      </c>
      <c r="K119" s="1">
        <v>15000</v>
      </c>
      <c r="L119" s="1">
        <f>Table1[[#This Row],[Unit Price]]*Table1[[#This Row],[Units]]</f>
        <v>150000</v>
      </c>
      <c r="M119" s="1">
        <v>50630</v>
      </c>
      <c r="N119" t="s">
        <v>26</v>
      </c>
    </row>
    <row r="120" spans="4:14" x14ac:dyDescent="0.25">
      <c r="D120">
        <v>1119</v>
      </c>
      <c r="E120" s="4">
        <v>45715</v>
      </c>
      <c r="F120" t="s">
        <v>32</v>
      </c>
      <c r="G120" t="s">
        <v>16</v>
      </c>
      <c r="H120" t="s">
        <v>12</v>
      </c>
      <c r="I120" t="s">
        <v>13</v>
      </c>
      <c r="J120">
        <v>5</v>
      </c>
      <c r="K120" s="1">
        <v>800</v>
      </c>
      <c r="L120" s="1">
        <f>Table1[[#This Row],[Unit Price]]*Table1[[#This Row],[Units]]</f>
        <v>4000</v>
      </c>
      <c r="M120" s="1">
        <v>1261</v>
      </c>
      <c r="N120" t="s">
        <v>14</v>
      </c>
    </row>
    <row r="121" spans="4:14" x14ac:dyDescent="0.25">
      <c r="D121">
        <v>1120</v>
      </c>
      <c r="E121" s="4">
        <v>45770</v>
      </c>
      <c r="F121" t="s">
        <v>20</v>
      </c>
      <c r="G121" t="s">
        <v>11</v>
      </c>
      <c r="H121" t="s">
        <v>33</v>
      </c>
      <c r="I121" t="s">
        <v>22</v>
      </c>
      <c r="J121">
        <v>1</v>
      </c>
      <c r="K121" s="1">
        <v>15000</v>
      </c>
      <c r="L121" s="1">
        <f>Table1[[#This Row],[Unit Price]]*Table1[[#This Row],[Units]]</f>
        <v>15000</v>
      </c>
      <c r="M121" s="1">
        <v>4922</v>
      </c>
      <c r="N121" t="s">
        <v>14</v>
      </c>
    </row>
    <row r="122" spans="4:14" x14ac:dyDescent="0.25">
      <c r="D122">
        <v>1121</v>
      </c>
      <c r="E122" s="4">
        <v>45685</v>
      </c>
      <c r="F122" t="s">
        <v>10</v>
      </c>
      <c r="G122" t="s">
        <v>11</v>
      </c>
      <c r="H122" t="s">
        <v>21</v>
      </c>
      <c r="I122" t="s">
        <v>34</v>
      </c>
      <c r="J122">
        <v>3</v>
      </c>
      <c r="K122" s="1">
        <v>30000</v>
      </c>
      <c r="L122" s="1">
        <f>Table1[[#This Row],[Unit Price]]*Table1[[#This Row],[Units]]</f>
        <v>90000</v>
      </c>
      <c r="M122" s="1">
        <v>21874</v>
      </c>
      <c r="N122" t="s">
        <v>26</v>
      </c>
    </row>
    <row r="123" spans="4:14" x14ac:dyDescent="0.25">
      <c r="D123">
        <v>1122</v>
      </c>
      <c r="E123" s="4">
        <v>45705</v>
      </c>
      <c r="F123" t="s">
        <v>32</v>
      </c>
      <c r="G123" t="s">
        <v>24</v>
      </c>
      <c r="H123" t="s">
        <v>35</v>
      </c>
      <c r="I123" t="s">
        <v>13</v>
      </c>
      <c r="J123">
        <v>3</v>
      </c>
      <c r="K123" s="1">
        <v>800</v>
      </c>
      <c r="L123" s="1">
        <f>Table1[[#This Row],[Unit Price]]*Table1[[#This Row],[Units]]</f>
        <v>2400</v>
      </c>
      <c r="M123" s="1">
        <v>715</v>
      </c>
      <c r="N123" t="s">
        <v>14</v>
      </c>
    </row>
    <row r="124" spans="4:14" x14ac:dyDescent="0.25">
      <c r="D124">
        <v>1123</v>
      </c>
      <c r="E124" s="4">
        <v>45752</v>
      </c>
      <c r="F124" t="s">
        <v>20</v>
      </c>
      <c r="G124" t="s">
        <v>24</v>
      </c>
      <c r="H124" t="s">
        <v>30</v>
      </c>
      <c r="I124" t="s">
        <v>34</v>
      </c>
      <c r="J124">
        <v>6</v>
      </c>
      <c r="K124" s="1">
        <v>30000</v>
      </c>
      <c r="L124" s="1">
        <f>Table1[[#This Row],[Unit Price]]*Table1[[#This Row],[Units]]</f>
        <v>180000</v>
      </c>
      <c r="M124" s="1">
        <v>52748</v>
      </c>
      <c r="N124" t="s">
        <v>26</v>
      </c>
    </row>
    <row r="125" spans="4:14" x14ac:dyDescent="0.25">
      <c r="D125">
        <v>1124</v>
      </c>
      <c r="E125" s="4">
        <v>45764</v>
      </c>
      <c r="F125" t="s">
        <v>20</v>
      </c>
      <c r="G125" t="s">
        <v>16</v>
      </c>
      <c r="H125" t="s">
        <v>21</v>
      </c>
      <c r="I125" t="s">
        <v>13</v>
      </c>
      <c r="J125">
        <v>2</v>
      </c>
      <c r="K125" s="1">
        <v>800</v>
      </c>
      <c r="L125" s="1">
        <f>Table1[[#This Row],[Unit Price]]*Table1[[#This Row],[Units]]</f>
        <v>1600</v>
      </c>
      <c r="M125" s="1">
        <v>540</v>
      </c>
      <c r="N125" t="s">
        <v>14</v>
      </c>
    </row>
    <row r="126" spans="4:14" x14ac:dyDescent="0.25">
      <c r="D126">
        <v>1125</v>
      </c>
      <c r="E126" s="4">
        <v>45765</v>
      </c>
      <c r="F126" t="s">
        <v>20</v>
      </c>
      <c r="G126" t="s">
        <v>16</v>
      </c>
      <c r="H126" t="s">
        <v>35</v>
      </c>
      <c r="I126" t="s">
        <v>18</v>
      </c>
      <c r="J126">
        <v>1</v>
      </c>
      <c r="K126" s="1">
        <v>60000</v>
      </c>
      <c r="L126" s="1">
        <f>Table1[[#This Row],[Unit Price]]*Table1[[#This Row],[Units]]</f>
        <v>60000</v>
      </c>
      <c r="M126" s="1">
        <v>12305</v>
      </c>
      <c r="N126" t="s">
        <v>26</v>
      </c>
    </row>
    <row r="127" spans="4:14" x14ac:dyDescent="0.25">
      <c r="D127">
        <v>1126</v>
      </c>
      <c r="E127" s="4">
        <v>45708</v>
      </c>
      <c r="F127" t="s">
        <v>32</v>
      </c>
      <c r="G127" t="s">
        <v>24</v>
      </c>
      <c r="H127" t="s">
        <v>12</v>
      </c>
      <c r="I127" t="s">
        <v>28</v>
      </c>
      <c r="J127">
        <v>6</v>
      </c>
      <c r="K127" s="1">
        <v>2000</v>
      </c>
      <c r="L127" s="1">
        <f>Table1[[#This Row],[Unit Price]]*Table1[[#This Row],[Units]]</f>
        <v>12000</v>
      </c>
      <c r="M127" s="1">
        <v>3475</v>
      </c>
      <c r="N127" t="s">
        <v>14</v>
      </c>
    </row>
    <row r="128" spans="4:14" x14ac:dyDescent="0.25">
      <c r="D128">
        <v>1127</v>
      </c>
      <c r="E128" s="4">
        <v>45756</v>
      </c>
      <c r="F128" t="s">
        <v>20</v>
      </c>
      <c r="G128" t="s">
        <v>24</v>
      </c>
      <c r="H128" t="s">
        <v>35</v>
      </c>
      <c r="I128" t="s">
        <v>28</v>
      </c>
      <c r="J128">
        <v>1</v>
      </c>
      <c r="K128" s="1">
        <v>2000</v>
      </c>
      <c r="L128" s="1">
        <f>Table1[[#This Row],[Unit Price]]*Table1[[#This Row],[Units]]</f>
        <v>2000</v>
      </c>
      <c r="M128" s="1">
        <v>446</v>
      </c>
      <c r="N128" t="s">
        <v>14</v>
      </c>
    </row>
    <row r="129" spans="4:14" x14ac:dyDescent="0.25">
      <c r="D129">
        <v>1128</v>
      </c>
      <c r="E129" s="4">
        <v>45686</v>
      </c>
      <c r="F129" t="s">
        <v>10</v>
      </c>
      <c r="G129" t="s">
        <v>11</v>
      </c>
      <c r="H129" t="s">
        <v>21</v>
      </c>
      <c r="I129" t="s">
        <v>18</v>
      </c>
      <c r="J129">
        <v>3</v>
      </c>
      <c r="K129" s="1">
        <v>60000</v>
      </c>
      <c r="L129" s="1">
        <f>Table1[[#This Row],[Unit Price]]*Table1[[#This Row],[Units]]</f>
        <v>180000</v>
      </c>
      <c r="M129" s="1">
        <v>28478</v>
      </c>
      <c r="N129" t="s">
        <v>26</v>
      </c>
    </row>
    <row r="130" spans="4:14" x14ac:dyDescent="0.25">
      <c r="D130">
        <v>1129</v>
      </c>
      <c r="E130" s="4">
        <v>45792</v>
      </c>
      <c r="F130" t="s">
        <v>15</v>
      </c>
      <c r="G130" t="s">
        <v>11</v>
      </c>
      <c r="H130" t="s">
        <v>25</v>
      </c>
      <c r="I130" t="s">
        <v>22</v>
      </c>
      <c r="J130">
        <v>9</v>
      </c>
      <c r="K130" s="1">
        <v>15000</v>
      </c>
      <c r="L130" s="1">
        <f>Table1[[#This Row],[Unit Price]]*Table1[[#This Row],[Units]]</f>
        <v>135000</v>
      </c>
      <c r="M130" s="1">
        <v>25712</v>
      </c>
      <c r="N130" t="s">
        <v>26</v>
      </c>
    </row>
    <row r="131" spans="4:14" x14ac:dyDescent="0.25">
      <c r="D131">
        <v>1130</v>
      </c>
      <c r="E131" s="4">
        <v>45684</v>
      </c>
      <c r="F131" t="s">
        <v>10</v>
      </c>
      <c r="G131" t="s">
        <v>16</v>
      </c>
      <c r="H131" t="s">
        <v>35</v>
      </c>
      <c r="I131" t="s">
        <v>13</v>
      </c>
      <c r="J131">
        <v>5</v>
      </c>
      <c r="K131" s="1">
        <v>800</v>
      </c>
      <c r="L131" s="1">
        <f>Table1[[#This Row],[Unit Price]]*Table1[[#This Row],[Units]]</f>
        <v>4000</v>
      </c>
      <c r="M131" s="1">
        <v>1200</v>
      </c>
      <c r="N131" t="s">
        <v>14</v>
      </c>
    </row>
    <row r="132" spans="4:14" x14ac:dyDescent="0.25">
      <c r="D132">
        <v>1131</v>
      </c>
      <c r="E132" s="4">
        <v>45732</v>
      </c>
      <c r="F132" t="s">
        <v>23</v>
      </c>
      <c r="G132" t="s">
        <v>29</v>
      </c>
      <c r="H132" t="s">
        <v>31</v>
      </c>
      <c r="I132" t="s">
        <v>18</v>
      </c>
      <c r="J132">
        <v>10</v>
      </c>
      <c r="K132" s="1">
        <v>60000</v>
      </c>
      <c r="L132" s="1">
        <f>Table1[[#This Row],[Unit Price]]*Table1[[#This Row],[Units]]</f>
        <v>600000</v>
      </c>
      <c r="M132" s="1">
        <v>105839</v>
      </c>
      <c r="N132" t="s">
        <v>19</v>
      </c>
    </row>
    <row r="133" spans="4:14" x14ac:dyDescent="0.25">
      <c r="D133">
        <v>1132</v>
      </c>
      <c r="E133" s="4">
        <v>45686</v>
      </c>
      <c r="F133" t="s">
        <v>10</v>
      </c>
      <c r="G133" t="s">
        <v>29</v>
      </c>
      <c r="H133" t="s">
        <v>12</v>
      </c>
      <c r="I133" t="s">
        <v>18</v>
      </c>
      <c r="J133">
        <v>3</v>
      </c>
      <c r="K133" s="1">
        <v>60000</v>
      </c>
      <c r="L133" s="1">
        <f>Table1[[#This Row],[Unit Price]]*Table1[[#This Row],[Units]]</f>
        <v>180000</v>
      </c>
      <c r="M133" s="1">
        <v>58065</v>
      </c>
      <c r="N133" t="s">
        <v>26</v>
      </c>
    </row>
    <row r="134" spans="4:14" x14ac:dyDescent="0.25">
      <c r="D134">
        <v>1133</v>
      </c>
      <c r="E134" s="4">
        <v>45743</v>
      </c>
      <c r="F134" t="s">
        <v>23</v>
      </c>
      <c r="G134" t="s">
        <v>24</v>
      </c>
      <c r="H134" t="s">
        <v>33</v>
      </c>
      <c r="I134" t="s">
        <v>28</v>
      </c>
      <c r="J134">
        <v>3</v>
      </c>
      <c r="K134" s="1">
        <v>2000</v>
      </c>
      <c r="L134" s="1">
        <f>Table1[[#This Row],[Unit Price]]*Table1[[#This Row],[Units]]</f>
        <v>6000</v>
      </c>
      <c r="M134" s="1">
        <v>1025</v>
      </c>
      <c r="N134" t="s">
        <v>14</v>
      </c>
    </row>
    <row r="135" spans="4:14" x14ac:dyDescent="0.25">
      <c r="D135">
        <v>1134</v>
      </c>
      <c r="E135" s="4">
        <v>45771</v>
      </c>
      <c r="F135" t="s">
        <v>20</v>
      </c>
      <c r="G135" t="s">
        <v>29</v>
      </c>
      <c r="H135" t="s">
        <v>17</v>
      </c>
      <c r="I135" t="s">
        <v>34</v>
      </c>
      <c r="J135">
        <v>6</v>
      </c>
      <c r="K135" s="1">
        <v>30000</v>
      </c>
      <c r="L135" s="1">
        <f>Table1[[#This Row],[Unit Price]]*Table1[[#This Row],[Units]]</f>
        <v>180000</v>
      </c>
      <c r="M135" s="1">
        <v>59258</v>
      </c>
      <c r="N135" t="s">
        <v>26</v>
      </c>
    </row>
    <row r="136" spans="4:14" x14ac:dyDescent="0.25">
      <c r="D136">
        <v>1135</v>
      </c>
      <c r="E136" s="4">
        <v>45803</v>
      </c>
      <c r="F136" t="s">
        <v>15</v>
      </c>
      <c r="G136" t="s">
        <v>24</v>
      </c>
      <c r="H136" t="s">
        <v>30</v>
      </c>
      <c r="I136" t="s">
        <v>18</v>
      </c>
      <c r="J136">
        <v>7</v>
      </c>
      <c r="K136" s="1">
        <v>60000</v>
      </c>
      <c r="L136" s="1">
        <f>Table1[[#This Row],[Unit Price]]*Table1[[#This Row],[Units]]</f>
        <v>420000</v>
      </c>
      <c r="M136" s="1">
        <v>81257</v>
      </c>
      <c r="N136" t="s">
        <v>19</v>
      </c>
    </row>
    <row r="137" spans="4:14" x14ac:dyDescent="0.25">
      <c r="D137">
        <v>1136</v>
      </c>
      <c r="E137" s="4">
        <v>45695</v>
      </c>
      <c r="F137" t="s">
        <v>32</v>
      </c>
      <c r="G137" t="s">
        <v>29</v>
      </c>
      <c r="H137" t="s">
        <v>31</v>
      </c>
      <c r="I137" t="s">
        <v>13</v>
      </c>
      <c r="J137">
        <v>7</v>
      </c>
      <c r="K137" s="1">
        <v>800</v>
      </c>
      <c r="L137" s="1">
        <f>Table1[[#This Row],[Unit Price]]*Table1[[#This Row],[Units]]</f>
        <v>5600</v>
      </c>
      <c r="M137" s="1">
        <v>1790</v>
      </c>
      <c r="N137" t="s">
        <v>14</v>
      </c>
    </row>
    <row r="138" spans="4:14" x14ac:dyDescent="0.25">
      <c r="D138">
        <v>1137</v>
      </c>
      <c r="E138" s="4">
        <v>45794</v>
      </c>
      <c r="F138" t="s">
        <v>15</v>
      </c>
      <c r="G138" t="s">
        <v>11</v>
      </c>
      <c r="H138" t="s">
        <v>21</v>
      </c>
      <c r="I138" t="s">
        <v>28</v>
      </c>
      <c r="J138">
        <v>8</v>
      </c>
      <c r="K138" s="1">
        <v>2000</v>
      </c>
      <c r="L138" s="1">
        <f>Table1[[#This Row],[Unit Price]]*Table1[[#This Row],[Units]]</f>
        <v>16000</v>
      </c>
      <c r="M138" s="1">
        <v>3476</v>
      </c>
      <c r="N138" t="s">
        <v>14</v>
      </c>
    </row>
    <row r="139" spans="4:14" x14ac:dyDescent="0.25">
      <c r="D139">
        <v>1138</v>
      </c>
      <c r="E139" s="4">
        <v>45723</v>
      </c>
      <c r="F139" t="s">
        <v>23</v>
      </c>
      <c r="G139" t="s">
        <v>24</v>
      </c>
      <c r="H139" t="s">
        <v>31</v>
      </c>
      <c r="I139" t="s">
        <v>22</v>
      </c>
      <c r="J139">
        <v>9</v>
      </c>
      <c r="K139" s="1">
        <v>15000</v>
      </c>
      <c r="L139" s="1">
        <f>Table1[[#This Row],[Unit Price]]*Table1[[#This Row],[Units]]</f>
        <v>135000</v>
      </c>
      <c r="M139" s="1">
        <v>27219</v>
      </c>
      <c r="N139" t="s">
        <v>26</v>
      </c>
    </row>
    <row r="140" spans="4:14" x14ac:dyDescent="0.25">
      <c r="D140">
        <v>1139</v>
      </c>
      <c r="E140" s="4">
        <v>45688</v>
      </c>
      <c r="F140" t="s">
        <v>10</v>
      </c>
      <c r="G140" t="s">
        <v>29</v>
      </c>
      <c r="H140" t="s">
        <v>30</v>
      </c>
      <c r="I140" t="s">
        <v>18</v>
      </c>
      <c r="J140">
        <v>3</v>
      </c>
      <c r="K140" s="1">
        <v>60000</v>
      </c>
      <c r="L140" s="1">
        <f>Table1[[#This Row],[Unit Price]]*Table1[[#This Row],[Units]]</f>
        <v>180000</v>
      </c>
      <c r="M140" s="1">
        <v>55433</v>
      </c>
      <c r="N140" t="s">
        <v>26</v>
      </c>
    </row>
    <row r="141" spans="4:14" x14ac:dyDescent="0.25">
      <c r="D141">
        <v>1140</v>
      </c>
      <c r="E141" s="4">
        <v>45775</v>
      </c>
      <c r="F141" t="s">
        <v>20</v>
      </c>
      <c r="G141" t="s">
        <v>16</v>
      </c>
      <c r="H141" t="s">
        <v>21</v>
      </c>
      <c r="I141" t="s">
        <v>28</v>
      </c>
      <c r="J141">
        <v>8</v>
      </c>
      <c r="K141" s="1">
        <v>2000</v>
      </c>
      <c r="L141" s="1">
        <f>Table1[[#This Row],[Unit Price]]*Table1[[#This Row],[Units]]</f>
        <v>16000</v>
      </c>
      <c r="M141" s="1">
        <v>5527</v>
      </c>
      <c r="N141" t="s">
        <v>14</v>
      </c>
    </row>
    <row r="142" spans="4:14" x14ac:dyDescent="0.25">
      <c r="D142">
        <v>1141</v>
      </c>
      <c r="E142" s="4">
        <v>45797</v>
      </c>
      <c r="F142" t="s">
        <v>15</v>
      </c>
      <c r="G142" t="s">
        <v>16</v>
      </c>
      <c r="H142" t="s">
        <v>12</v>
      </c>
      <c r="I142" t="s">
        <v>22</v>
      </c>
      <c r="J142">
        <v>6</v>
      </c>
      <c r="K142" s="1">
        <v>15000</v>
      </c>
      <c r="L142" s="1">
        <f>Table1[[#This Row],[Unit Price]]*Table1[[#This Row],[Units]]</f>
        <v>90000</v>
      </c>
      <c r="M142" s="1">
        <v>29370</v>
      </c>
      <c r="N142" t="s">
        <v>26</v>
      </c>
    </row>
    <row r="143" spans="4:14" x14ac:dyDescent="0.25">
      <c r="D143">
        <v>1142</v>
      </c>
      <c r="E143" s="4">
        <v>45726</v>
      </c>
      <c r="F143" t="s">
        <v>23</v>
      </c>
      <c r="G143" t="s">
        <v>29</v>
      </c>
      <c r="H143" t="s">
        <v>31</v>
      </c>
      <c r="I143" t="s">
        <v>34</v>
      </c>
      <c r="J143">
        <v>7</v>
      </c>
      <c r="K143" s="1">
        <v>30000</v>
      </c>
      <c r="L143" s="1">
        <f>Table1[[#This Row],[Unit Price]]*Table1[[#This Row],[Units]]</f>
        <v>210000</v>
      </c>
      <c r="M143" s="1">
        <v>72533</v>
      </c>
      <c r="N143" t="s">
        <v>19</v>
      </c>
    </row>
    <row r="144" spans="4:14" x14ac:dyDescent="0.25">
      <c r="D144">
        <v>1143</v>
      </c>
      <c r="E144" s="4">
        <v>45764</v>
      </c>
      <c r="F144" t="s">
        <v>20</v>
      </c>
      <c r="G144" t="s">
        <v>16</v>
      </c>
      <c r="H144" t="s">
        <v>25</v>
      </c>
      <c r="I144" t="s">
        <v>28</v>
      </c>
      <c r="J144">
        <v>8</v>
      </c>
      <c r="K144" s="1">
        <v>2000</v>
      </c>
      <c r="L144" s="1">
        <f>Table1[[#This Row],[Unit Price]]*Table1[[#This Row],[Units]]</f>
        <v>16000</v>
      </c>
      <c r="M144" s="1">
        <v>2684</v>
      </c>
      <c r="N144" t="s">
        <v>14</v>
      </c>
    </row>
    <row r="145" spans="4:14" x14ac:dyDescent="0.25">
      <c r="D145">
        <v>1144</v>
      </c>
      <c r="E145" s="4">
        <v>45724</v>
      </c>
      <c r="F145" t="s">
        <v>23</v>
      </c>
      <c r="G145" t="s">
        <v>11</v>
      </c>
      <c r="H145" t="s">
        <v>21</v>
      </c>
      <c r="I145" t="s">
        <v>34</v>
      </c>
      <c r="J145">
        <v>8</v>
      </c>
      <c r="K145" s="1">
        <v>30000</v>
      </c>
      <c r="L145" s="1">
        <f>Table1[[#This Row],[Unit Price]]*Table1[[#This Row],[Units]]</f>
        <v>240000</v>
      </c>
      <c r="M145" s="1">
        <v>75494</v>
      </c>
      <c r="N145" t="s">
        <v>19</v>
      </c>
    </row>
    <row r="146" spans="4:14" x14ac:dyDescent="0.25">
      <c r="D146">
        <v>1145</v>
      </c>
      <c r="E146" s="4">
        <v>45736</v>
      </c>
      <c r="F146" t="s">
        <v>23</v>
      </c>
      <c r="G146" t="s">
        <v>24</v>
      </c>
      <c r="H146" t="s">
        <v>12</v>
      </c>
      <c r="I146" t="s">
        <v>34</v>
      </c>
      <c r="J146">
        <v>5</v>
      </c>
      <c r="K146" s="1">
        <v>30000</v>
      </c>
      <c r="L146" s="1">
        <f>Table1[[#This Row],[Unit Price]]*Table1[[#This Row],[Units]]</f>
        <v>150000</v>
      </c>
      <c r="M146" s="1">
        <v>33577</v>
      </c>
      <c r="N146" t="s">
        <v>26</v>
      </c>
    </row>
    <row r="147" spans="4:14" x14ac:dyDescent="0.25">
      <c r="D147">
        <v>1146</v>
      </c>
      <c r="E147" s="4">
        <v>45792</v>
      </c>
      <c r="F147" t="s">
        <v>15</v>
      </c>
      <c r="G147" t="s">
        <v>29</v>
      </c>
      <c r="H147" t="s">
        <v>25</v>
      </c>
      <c r="I147" t="s">
        <v>28</v>
      </c>
      <c r="J147">
        <v>10</v>
      </c>
      <c r="K147" s="1">
        <v>2000</v>
      </c>
      <c r="L147" s="1">
        <f>Table1[[#This Row],[Unit Price]]*Table1[[#This Row],[Units]]</f>
        <v>20000</v>
      </c>
      <c r="M147" s="1">
        <v>3938</v>
      </c>
      <c r="N147" t="s">
        <v>14</v>
      </c>
    </row>
    <row r="148" spans="4:14" x14ac:dyDescent="0.25">
      <c r="D148">
        <v>1147</v>
      </c>
      <c r="E148" s="4">
        <v>45828</v>
      </c>
      <c r="F148" t="s">
        <v>27</v>
      </c>
      <c r="G148" t="s">
        <v>24</v>
      </c>
      <c r="H148" t="s">
        <v>12</v>
      </c>
      <c r="I148" t="s">
        <v>28</v>
      </c>
      <c r="J148">
        <v>7</v>
      </c>
      <c r="K148" s="1">
        <v>2000</v>
      </c>
      <c r="L148" s="1">
        <f>Table1[[#This Row],[Unit Price]]*Table1[[#This Row],[Units]]</f>
        <v>14000</v>
      </c>
      <c r="M148" s="1">
        <v>2576</v>
      </c>
      <c r="N148" t="s">
        <v>14</v>
      </c>
    </row>
    <row r="149" spans="4:14" x14ac:dyDescent="0.25">
      <c r="D149">
        <v>1148</v>
      </c>
      <c r="E149" s="4">
        <v>45814</v>
      </c>
      <c r="F149" t="s">
        <v>27</v>
      </c>
      <c r="G149" t="s">
        <v>11</v>
      </c>
      <c r="H149" t="s">
        <v>31</v>
      </c>
      <c r="I149" t="s">
        <v>28</v>
      </c>
      <c r="J149">
        <v>2</v>
      </c>
      <c r="K149" s="1">
        <v>2000</v>
      </c>
      <c r="L149" s="1">
        <f>Table1[[#This Row],[Unit Price]]*Table1[[#This Row],[Units]]</f>
        <v>4000</v>
      </c>
      <c r="M149" s="1">
        <v>1365</v>
      </c>
      <c r="N149" t="s">
        <v>14</v>
      </c>
    </row>
    <row r="150" spans="4:14" x14ac:dyDescent="0.25">
      <c r="D150">
        <v>1149</v>
      </c>
      <c r="E150" s="4">
        <v>45831</v>
      </c>
      <c r="F150" t="s">
        <v>27</v>
      </c>
      <c r="G150" t="s">
        <v>16</v>
      </c>
      <c r="H150" t="s">
        <v>21</v>
      </c>
      <c r="I150" t="s">
        <v>28</v>
      </c>
      <c r="J150">
        <v>4</v>
      </c>
      <c r="K150" s="1">
        <v>2000</v>
      </c>
      <c r="L150" s="1">
        <f>Table1[[#This Row],[Unit Price]]*Table1[[#This Row],[Units]]</f>
        <v>8000</v>
      </c>
      <c r="M150" s="1">
        <v>2105</v>
      </c>
      <c r="N150" t="s">
        <v>14</v>
      </c>
    </row>
    <row r="151" spans="4:14" x14ac:dyDescent="0.25">
      <c r="D151">
        <v>1150</v>
      </c>
      <c r="E151" s="4">
        <v>45666</v>
      </c>
      <c r="F151" t="s">
        <v>10</v>
      </c>
      <c r="G151" t="s">
        <v>16</v>
      </c>
      <c r="H151" t="s">
        <v>12</v>
      </c>
      <c r="I151" t="s">
        <v>22</v>
      </c>
      <c r="J151">
        <v>1</v>
      </c>
      <c r="K151" s="1">
        <v>15000</v>
      </c>
      <c r="L151" s="1">
        <f>Table1[[#This Row],[Unit Price]]*Table1[[#This Row],[Units]]</f>
        <v>15000</v>
      </c>
      <c r="M151" s="1">
        <v>2461</v>
      </c>
      <c r="N151" t="s">
        <v>14</v>
      </c>
    </row>
    <row r="152" spans="4:14" x14ac:dyDescent="0.25">
      <c r="D152">
        <v>1151</v>
      </c>
      <c r="E152" s="4">
        <v>45673</v>
      </c>
      <c r="F152" t="s">
        <v>10</v>
      </c>
      <c r="G152" t="s">
        <v>11</v>
      </c>
      <c r="H152" t="s">
        <v>31</v>
      </c>
      <c r="I152" t="s">
        <v>34</v>
      </c>
      <c r="J152">
        <v>6</v>
      </c>
      <c r="K152" s="1">
        <v>30000</v>
      </c>
      <c r="L152" s="1">
        <f>Table1[[#This Row],[Unit Price]]*Table1[[#This Row],[Units]]</f>
        <v>180000</v>
      </c>
      <c r="M152" s="1">
        <v>53467</v>
      </c>
      <c r="N152" t="s">
        <v>26</v>
      </c>
    </row>
    <row r="153" spans="4:14" x14ac:dyDescent="0.25">
      <c r="D153">
        <v>1152</v>
      </c>
      <c r="E153" s="4">
        <v>45782</v>
      </c>
      <c r="F153" t="s">
        <v>15</v>
      </c>
      <c r="G153" t="s">
        <v>24</v>
      </c>
      <c r="H153" t="s">
        <v>31</v>
      </c>
      <c r="I153" t="s">
        <v>34</v>
      </c>
      <c r="J153">
        <v>2</v>
      </c>
      <c r="K153" s="1">
        <v>30000</v>
      </c>
      <c r="L153" s="1">
        <f>Table1[[#This Row],[Unit Price]]*Table1[[#This Row],[Units]]</f>
        <v>60000</v>
      </c>
      <c r="M153" s="1">
        <v>9804</v>
      </c>
      <c r="N153" t="s">
        <v>26</v>
      </c>
    </row>
    <row r="154" spans="4:14" x14ac:dyDescent="0.25">
      <c r="D154">
        <v>1153</v>
      </c>
      <c r="E154" s="4">
        <v>45741</v>
      </c>
      <c r="F154" t="s">
        <v>23</v>
      </c>
      <c r="G154" t="s">
        <v>29</v>
      </c>
      <c r="H154" t="s">
        <v>30</v>
      </c>
      <c r="I154" t="s">
        <v>34</v>
      </c>
      <c r="J154">
        <v>1</v>
      </c>
      <c r="K154" s="1">
        <v>30000</v>
      </c>
      <c r="L154" s="1">
        <f>Table1[[#This Row],[Unit Price]]*Table1[[#This Row],[Units]]</f>
        <v>30000</v>
      </c>
      <c r="M154" s="1">
        <v>7589</v>
      </c>
      <c r="N154" t="s">
        <v>14</v>
      </c>
    </row>
    <row r="155" spans="4:14" x14ac:dyDescent="0.25">
      <c r="D155">
        <v>1154</v>
      </c>
      <c r="E155" s="4">
        <v>45699</v>
      </c>
      <c r="F155" t="s">
        <v>32</v>
      </c>
      <c r="G155" t="s">
        <v>29</v>
      </c>
      <c r="H155" t="s">
        <v>30</v>
      </c>
      <c r="I155" t="s">
        <v>13</v>
      </c>
      <c r="J155">
        <v>4</v>
      </c>
      <c r="K155" s="1">
        <v>800</v>
      </c>
      <c r="L155" s="1">
        <f>Table1[[#This Row],[Unit Price]]*Table1[[#This Row],[Units]]</f>
        <v>3200</v>
      </c>
      <c r="M155" s="1">
        <v>601</v>
      </c>
      <c r="N155" t="s">
        <v>14</v>
      </c>
    </row>
    <row r="156" spans="4:14" x14ac:dyDescent="0.25">
      <c r="D156">
        <v>1155</v>
      </c>
      <c r="E156" s="4">
        <v>45754</v>
      </c>
      <c r="F156" t="s">
        <v>20</v>
      </c>
      <c r="G156" t="s">
        <v>16</v>
      </c>
      <c r="H156" t="s">
        <v>30</v>
      </c>
      <c r="I156" t="s">
        <v>13</v>
      </c>
      <c r="J156">
        <v>4</v>
      </c>
      <c r="K156" s="1">
        <v>800</v>
      </c>
      <c r="L156" s="1">
        <f>Table1[[#This Row],[Unit Price]]*Table1[[#This Row],[Units]]</f>
        <v>3200</v>
      </c>
      <c r="M156" s="1">
        <v>495</v>
      </c>
      <c r="N156" t="s">
        <v>14</v>
      </c>
    </row>
    <row r="157" spans="4:14" x14ac:dyDescent="0.25">
      <c r="D157">
        <v>1156</v>
      </c>
      <c r="E157" s="4">
        <v>45740</v>
      </c>
      <c r="F157" t="s">
        <v>23</v>
      </c>
      <c r="G157" t="s">
        <v>29</v>
      </c>
      <c r="H157" t="s">
        <v>17</v>
      </c>
      <c r="I157" t="s">
        <v>13</v>
      </c>
      <c r="J157">
        <v>2</v>
      </c>
      <c r="K157" s="1">
        <v>800</v>
      </c>
      <c r="L157" s="1">
        <f>Table1[[#This Row],[Unit Price]]*Table1[[#This Row],[Units]]</f>
        <v>1600</v>
      </c>
      <c r="M157" s="1">
        <v>278</v>
      </c>
      <c r="N157" t="s">
        <v>14</v>
      </c>
    </row>
    <row r="158" spans="4:14" x14ac:dyDescent="0.25">
      <c r="D158">
        <v>1157</v>
      </c>
      <c r="E158" s="4">
        <v>45830</v>
      </c>
      <c r="F158" t="s">
        <v>27</v>
      </c>
      <c r="G158" t="s">
        <v>24</v>
      </c>
      <c r="H158" t="s">
        <v>33</v>
      </c>
      <c r="I158" t="s">
        <v>28</v>
      </c>
      <c r="J158">
        <v>1</v>
      </c>
      <c r="K158" s="1">
        <v>2000</v>
      </c>
      <c r="L158" s="1">
        <f>Table1[[#This Row],[Unit Price]]*Table1[[#This Row],[Units]]</f>
        <v>2000</v>
      </c>
      <c r="M158" s="1">
        <v>516</v>
      </c>
      <c r="N158" t="s">
        <v>14</v>
      </c>
    </row>
    <row r="159" spans="4:14" x14ac:dyDescent="0.25">
      <c r="D159">
        <v>1158</v>
      </c>
      <c r="E159" s="4">
        <v>45800</v>
      </c>
      <c r="F159" t="s">
        <v>15</v>
      </c>
      <c r="G159" t="s">
        <v>29</v>
      </c>
      <c r="H159" t="s">
        <v>35</v>
      </c>
      <c r="I159" t="s">
        <v>18</v>
      </c>
      <c r="J159">
        <v>4</v>
      </c>
      <c r="K159" s="1">
        <v>60000</v>
      </c>
      <c r="L159" s="1">
        <f>Table1[[#This Row],[Unit Price]]*Table1[[#This Row],[Units]]</f>
        <v>240000</v>
      </c>
      <c r="M159" s="1">
        <v>80235</v>
      </c>
      <c r="N159" t="s">
        <v>19</v>
      </c>
    </row>
    <row r="160" spans="4:14" x14ac:dyDescent="0.25">
      <c r="D160">
        <v>1159</v>
      </c>
      <c r="E160" s="4">
        <v>45793</v>
      </c>
      <c r="F160" t="s">
        <v>15</v>
      </c>
      <c r="G160" t="s">
        <v>16</v>
      </c>
      <c r="H160" t="s">
        <v>17</v>
      </c>
      <c r="I160" t="s">
        <v>28</v>
      </c>
      <c r="J160">
        <v>9</v>
      </c>
      <c r="K160" s="1">
        <v>2000</v>
      </c>
      <c r="L160" s="1">
        <f>Table1[[#This Row],[Unit Price]]*Table1[[#This Row],[Units]]</f>
        <v>18000</v>
      </c>
      <c r="M160" s="1">
        <v>3766</v>
      </c>
      <c r="N160" t="s">
        <v>14</v>
      </c>
    </row>
    <row r="161" spans="4:14" x14ac:dyDescent="0.25">
      <c r="D161">
        <v>1160</v>
      </c>
      <c r="E161" s="4">
        <v>45788</v>
      </c>
      <c r="F161" t="s">
        <v>15</v>
      </c>
      <c r="G161" t="s">
        <v>24</v>
      </c>
      <c r="H161" t="s">
        <v>31</v>
      </c>
      <c r="I161" t="s">
        <v>28</v>
      </c>
      <c r="J161">
        <v>2</v>
      </c>
      <c r="K161" s="1">
        <v>2000</v>
      </c>
      <c r="L161" s="1">
        <f>Table1[[#This Row],[Unit Price]]*Table1[[#This Row],[Units]]</f>
        <v>4000</v>
      </c>
      <c r="M161" s="1">
        <v>627</v>
      </c>
      <c r="N161" t="s">
        <v>14</v>
      </c>
    </row>
    <row r="162" spans="4:14" x14ac:dyDescent="0.25">
      <c r="D162">
        <v>1161</v>
      </c>
      <c r="E162" s="4">
        <v>45786</v>
      </c>
      <c r="F162" t="s">
        <v>15</v>
      </c>
      <c r="G162" t="s">
        <v>16</v>
      </c>
      <c r="H162" t="s">
        <v>30</v>
      </c>
      <c r="I162" t="s">
        <v>22</v>
      </c>
      <c r="J162">
        <v>3</v>
      </c>
      <c r="K162" s="1">
        <v>15000</v>
      </c>
      <c r="L162" s="1">
        <f>Table1[[#This Row],[Unit Price]]*Table1[[#This Row],[Units]]</f>
        <v>45000</v>
      </c>
      <c r="M162" s="1">
        <v>12925</v>
      </c>
      <c r="N162" t="s">
        <v>14</v>
      </c>
    </row>
    <row r="163" spans="4:14" x14ac:dyDescent="0.25">
      <c r="D163">
        <v>1162</v>
      </c>
      <c r="E163" s="4">
        <v>45778</v>
      </c>
      <c r="F163" t="s">
        <v>15</v>
      </c>
      <c r="G163" t="s">
        <v>24</v>
      </c>
      <c r="H163" t="s">
        <v>30</v>
      </c>
      <c r="I163" t="s">
        <v>28</v>
      </c>
      <c r="J163">
        <v>10</v>
      </c>
      <c r="K163" s="1">
        <v>2000</v>
      </c>
      <c r="L163" s="1">
        <f>Table1[[#This Row],[Unit Price]]*Table1[[#This Row],[Units]]</f>
        <v>20000</v>
      </c>
      <c r="M163" s="1">
        <v>6232</v>
      </c>
      <c r="N163" t="s">
        <v>14</v>
      </c>
    </row>
    <row r="164" spans="4:14" x14ac:dyDescent="0.25">
      <c r="D164">
        <v>1163</v>
      </c>
      <c r="E164" s="4">
        <v>45672</v>
      </c>
      <c r="F164" t="s">
        <v>10</v>
      </c>
      <c r="G164" t="s">
        <v>16</v>
      </c>
      <c r="H164" t="s">
        <v>35</v>
      </c>
      <c r="I164" t="s">
        <v>22</v>
      </c>
      <c r="J164">
        <v>3</v>
      </c>
      <c r="K164" s="1">
        <v>15000</v>
      </c>
      <c r="L164" s="1">
        <f>Table1[[#This Row],[Unit Price]]*Table1[[#This Row],[Units]]</f>
        <v>45000</v>
      </c>
      <c r="M164" s="1">
        <v>15408</v>
      </c>
      <c r="N164" t="s">
        <v>14</v>
      </c>
    </row>
    <row r="165" spans="4:14" x14ac:dyDescent="0.25">
      <c r="D165">
        <v>1164</v>
      </c>
      <c r="E165" s="4">
        <v>45790</v>
      </c>
      <c r="F165" t="s">
        <v>15</v>
      </c>
      <c r="G165" t="s">
        <v>29</v>
      </c>
      <c r="H165" t="s">
        <v>33</v>
      </c>
      <c r="I165" t="s">
        <v>22</v>
      </c>
      <c r="J165">
        <v>7</v>
      </c>
      <c r="K165" s="1">
        <v>15000</v>
      </c>
      <c r="L165" s="1">
        <f>Table1[[#This Row],[Unit Price]]*Table1[[#This Row],[Units]]</f>
        <v>105000</v>
      </c>
      <c r="M165" s="1">
        <v>17529</v>
      </c>
      <c r="N165" t="s">
        <v>26</v>
      </c>
    </row>
    <row r="166" spans="4:14" x14ac:dyDescent="0.25">
      <c r="D166">
        <v>1165</v>
      </c>
      <c r="E166" s="4">
        <v>45780</v>
      </c>
      <c r="F166" t="s">
        <v>15</v>
      </c>
      <c r="G166" t="s">
        <v>29</v>
      </c>
      <c r="H166" t="s">
        <v>31</v>
      </c>
      <c r="I166" t="s">
        <v>34</v>
      </c>
      <c r="J166">
        <v>5</v>
      </c>
      <c r="K166" s="1">
        <v>30000</v>
      </c>
      <c r="L166" s="1">
        <f>Table1[[#This Row],[Unit Price]]*Table1[[#This Row],[Units]]</f>
        <v>150000</v>
      </c>
      <c r="M166" s="1">
        <v>49646</v>
      </c>
      <c r="N166" t="s">
        <v>26</v>
      </c>
    </row>
    <row r="167" spans="4:14" x14ac:dyDescent="0.25">
      <c r="D167">
        <v>1166</v>
      </c>
      <c r="E167" s="4">
        <v>45693</v>
      </c>
      <c r="F167" t="s">
        <v>32</v>
      </c>
      <c r="G167" t="s">
        <v>24</v>
      </c>
      <c r="H167" t="s">
        <v>21</v>
      </c>
      <c r="I167" t="s">
        <v>13</v>
      </c>
      <c r="J167">
        <v>4</v>
      </c>
      <c r="K167" s="1">
        <v>800</v>
      </c>
      <c r="L167" s="1">
        <f>Table1[[#This Row],[Unit Price]]*Table1[[#This Row],[Units]]</f>
        <v>3200</v>
      </c>
      <c r="M167" s="1">
        <v>606</v>
      </c>
      <c r="N167" t="s">
        <v>14</v>
      </c>
    </row>
    <row r="168" spans="4:14" x14ac:dyDescent="0.25">
      <c r="D168">
        <v>1167</v>
      </c>
      <c r="E168" s="4">
        <v>45750</v>
      </c>
      <c r="F168" t="s">
        <v>20</v>
      </c>
      <c r="G168" t="s">
        <v>11</v>
      </c>
      <c r="H168" t="s">
        <v>12</v>
      </c>
      <c r="I168" t="s">
        <v>28</v>
      </c>
      <c r="J168">
        <v>5</v>
      </c>
      <c r="K168" s="1">
        <v>2000</v>
      </c>
      <c r="L168" s="1">
        <f>Table1[[#This Row],[Unit Price]]*Table1[[#This Row],[Units]]</f>
        <v>10000</v>
      </c>
      <c r="M168" s="1">
        <v>1932</v>
      </c>
      <c r="N168" t="s">
        <v>14</v>
      </c>
    </row>
    <row r="169" spans="4:14" x14ac:dyDescent="0.25">
      <c r="D169">
        <v>1168</v>
      </c>
      <c r="E169" s="4">
        <v>45719</v>
      </c>
      <c r="F169" t="s">
        <v>23</v>
      </c>
      <c r="G169" t="s">
        <v>24</v>
      </c>
      <c r="H169" t="s">
        <v>17</v>
      </c>
      <c r="I169" t="s">
        <v>18</v>
      </c>
      <c r="J169">
        <v>10</v>
      </c>
      <c r="K169" s="1">
        <v>60000</v>
      </c>
      <c r="L169" s="1">
        <f>Table1[[#This Row],[Unit Price]]*Table1[[#This Row],[Units]]</f>
        <v>600000</v>
      </c>
      <c r="M169" s="1">
        <v>158692</v>
      </c>
      <c r="N169" t="s">
        <v>19</v>
      </c>
    </row>
    <row r="170" spans="4:14" x14ac:dyDescent="0.25">
      <c r="D170">
        <v>1169</v>
      </c>
      <c r="E170" s="4">
        <v>45686</v>
      </c>
      <c r="F170" t="s">
        <v>10</v>
      </c>
      <c r="G170" t="s">
        <v>11</v>
      </c>
      <c r="H170" t="s">
        <v>17</v>
      </c>
      <c r="I170" t="s">
        <v>13</v>
      </c>
      <c r="J170">
        <v>7</v>
      </c>
      <c r="K170" s="1">
        <v>800</v>
      </c>
      <c r="L170" s="1">
        <f>Table1[[#This Row],[Unit Price]]*Table1[[#This Row],[Units]]</f>
        <v>5600</v>
      </c>
      <c r="M170" s="1">
        <v>1683</v>
      </c>
      <c r="N170" t="s">
        <v>14</v>
      </c>
    </row>
    <row r="171" spans="4:14" x14ac:dyDescent="0.25">
      <c r="D171">
        <v>1170</v>
      </c>
      <c r="E171" s="4">
        <v>45773</v>
      </c>
      <c r="F171" t="s">
        <v>20</v>
      </c>
      <c r="G171" t="s">
        <v>24</v>
      </c>
      <c r="H171" t="s">
        <v>17</v>
      </c>
      <c r="I171" t="s">
        <v>34</v>
      </c>
      <c r="J171">
        <v>6</v>
      </c>
      <c r="K171" s="1">
        <v>30000</v>
      </c>
      <c r="L171" s="1">
        <f>Table1[[#This Row],[Unit Price]]*Table1[[#This Row],[Units]]</f>
        <v>180000</v>
      </c>
      <c r="M171" s="1">
        <v>45051</v>
      </c>
      <c r="N171" t="s">
        <v>26</v>
      </c>
    </row>
    <row r="172" spans="4:14" x14ac:dyDescent="0.25">
      <c r="D172">
        <v>1171</v>
      </c>
      <c r="E172" s="4">
        <v>45754</v>
      </c>
      <c r="F172" t="s">
        <v>20</v>
      </c>
      <c r="G172" t="s">
        <v>24</v>
      </c>
      <c r="H172" t="s">
        <v>33</v>
      </c>
      <c r="I172" t="s">
        <v>13</v>
      </c>
      <c r="J172">
        <v>9</v>
      </c>
      <c r="K172" s="1">
        <v>800</v>
      </c>
      <c r="L172" s="1">
        <f>Table1[[#This Row],[Unit Price]]*Table1[[#This Row],[Units]]</f>
        <v>7200</v>
      </c>
      <c r="M172" s="1">
        <v>1179</v>
      </c>
      <c r="N172" t="s">
        <v>14</v>
      </c>
    </row>
    <row r="173" spans="4:14" x14ac:dyDescent="0.25">
      <c r="D173">
        <v>1172</v>
      </c>
      <c r="E173" s="4">
        <v>45716</v>
      </c>
      <c r="F173" t="s">
        <v>32</v>
      </c>
      <c r="G173" t="s">
        <v>16</v>
      </c>
      <c r="H173" t="s">
        <v>21</v>
      </c>
      <c r="I173" t="s">
        <v>28</v>
      </c>
      <c r="J173">
        <v>5</v>
      </c>
      <c r="K173" s="1">
        <v>2000</v>
      </c>
      <c r="L173" s="1">
        <f>Table1[[#This Row],[Unit Price]]*Table1[[#This Row],[Units]]</f>
        <v>10000</v>
      </c>
      <c r="M173" s="1">
        <v>1778</v>
      </c>
      <c r="N173" t="s">
        <v>14</v>
      </c>
    </row>
    <row r="174" spans="4:14" x14ac:dyDescent="0.25">
      <c r="D174">
        <v>1173</v>
      </c>
      <c r="E174" s="4">
        <v>45806</v>
      </c>
      <c r="F174" t="s">
        <v>15</v>
      </c>
      <c r="G174" t="s">
        <v>29</v>
      </c>
      <c r="H174" t="s">
        <v>31</v>
      </c>
      <c r="I174" t="s">
        <v>18</v>
      </c>
      <c r="J174">
        <v>2</v>
      </c>
      <c r="K174" s="1">
        <v>60000</v>
      </c>
      <c r="L174" s="1">
        <f>Table1[[#This Row],[Unit Price]]*Table1[[#This Row],[Units]]</f>
        <v>120000</v>
      </c>
      <c r="M174" s="1">
        <v>25361</v>
      </c>
      <c r="N174" t="s">
        <v>26</v>
      </c>
    </row>
    <row r="175" spans="4:14" x14ac:dyDescent="0.25">
      <c r="D175">
        <v>1174</v>
      </c>
      <c r="E175" s="4">
        <v>45789</v>
      </c>
      <c r="F175" t="s">
        <v>15</v>
      </c>
      <c r="G175" t="s">
        <v>24</v>
      </c>
      <c r="H175" t="s">
        <v>25</v>
      </c>
      <c r="I175" t="s">
        <v>28</v>
      </c>
      <c r="J175">
        <v>5</v>
      </c>
      <c r="K175" s="1">
        <v>2000</v>
      </c>
      <c r="L175" s="1">
        <f>Table1[[#This Row],[Unit Price]]*Table1[[#This Row],[Units]]</f>
        <v>10000</v>
      </c>
      <c r="M175" s="1">
        <v>2954</v>
      </c>
      <c r="N175" t="s">
        <v>14</v>
      </c>
    </row>
    <row r="176" spans="4:14" x14ac:dyDescent="0.25">
      <c r="D176">
        <v>1175</v>
      </c>
      <c r="E176" s="4">
        <v>45670</v>
      </c>
      <c r="F176" t="s">
        <v>10</v>
      </c>
      <c r="G176" t="s">
        <v>11</v>
      </c>
      <c r="H176" t="s">
        <v>17</v>
      </c>
      <c r="I176" t="s">
        <v>34</v>
      </c>
      <c r="J176">
        <v>5</v>
      </c>
      <c r="K176" s="1">
        <v>30000</v>
      </c>
      <c r="L176" s="1">
        <f>Table1[[#This Row],[Unit Price]]*Table1[[#This Row],[Units]]</f>
        <v>150000</v>
      </c>
      <c r="M176" s="1">
        <v>49647</v>
      </c>
      <c r="N176" t="s">
        <v>26</v>
      </c>
    </row>
    <row r="177" spans="4:14" x14ac:dyDescent="0.25">
      <c r="D177">
        <v>1176</v>
      </c>
      <c r="E177" s="4">
        <v>45665</v>
      </c>
      <c r="F177" t="s">
        <v>10</v>
      </c>
      <c r="G177" t="s">
        <v>16</v>
      </c>
      <c r="H177" t="s">
        <v>21</v>
      </c>
      <c r="I177" t="s">
        <v>13</v>
      </c>
      <c r="J177">
        <v>6</v>
      </c>
      <c r="K177" s="1">
        <v>800</v>
      </c>
      <c r="L177" s="1">
        <f>Table1[[#This Row],[Unit Price]]*Table1[[#This Row],[Units]]</f>
        <v>4800</v>
      </c>
      <c r="M177" s="1">
        <v>899</v>
      </c>
      <c r="N177" t="s">
        <v>14</v>
      </c>
    </row>
    <row r="178" spans="4:14" x14ac:dyDescent="0.25">
      <c r="D178">
        <v>1177</v>
      </c>
      <c r="E178" s="4">
        <v>45776</v>
      </c>
      <c r="F178" t="s">
        <v>20</v>
      </c>
      <c r="G178" t="s">
        <v>29</v>
      </c>
      <c r="H178" t="s">
        <v>35</v>
      </c>
      <c r="I178" t="s">
        <v>13</v>
      </c>
      <c r="J178">
        <v>3</v>
      </c>
      <c r="K178" s="1">
        <v>800</v>
      </c>
      <c r="L178" s="1">
        <f>Table1[[#This Row],[Unit Price]]*Table1[[#This Row],[Units]]</f>
        <v>2400</v>
      </c>
      <c r="M178" s="1">
        <v>519</v>
      </c>
      <c r="N178" t="s">
        <v>14</v>
      </c>
    </row>
    <row r="179" spans="4:14" x14ac:dyDescent="0.25">
      <c r="D179">
        <v>1178</v>
      </c>
      <c r="E179" s="4">
        <v>45827</v>
      </c>
      <c r="F179" t="s">
        <v>27</v>
      </c>
      <c r="G179" t="s">
        <v>16</v>
      </c>
      <c r="H179" t="s">
        <v>25</v>
      </c>
      <c r="I179" t="s">
        <v>13</v>
      </c>
      <c r="J179">
        <v>3</v>
      </c>
      <c r="K179" s="1">
        <v>800</v>
      </c>
      <c r="L179" s="1">
        <f>Table1[[#This Row],[Unit Price]]*Table1[[#This Row],[Units]]</f>
        <v>2400</v>
      </c>
      <c r="M179" s="1">
        <v>772</v>
      </c>
      <c r="N179" t="s">
        <v>14</v>
      </c>
    </row>
    <row r="180" spans="4:14" x14ac:dyDescent="0.25">
      <c r="D180">
        <v>1179</v>
      </c>
      <c r="E180" s="4">
        <v>45736</v>
      </c>
      <c r="F180" t="s">
        <v>23</v>
      </c>
      <c r="G180" t="s">
        <v>11</v>
      </c>
      <c r="H180" t="s">
        <v>35</v>
      </c>
      <c r="I180" t="s">
        <v>28</v>
      </c>
      <c r="J180">
        <v>4</v>
      </c>
      <c r="K180" s="1">
        <v>2000</v>
      </c>
      <c r="L180" s="1">
        <f>Table1[[#This Row],[Unit Price]]*Table1[[#This Row],[Units]]</f>
        <v>8000</v>
      </c>
      <c r="M180" s="1">
        <v>1364</v>
      </c>
      <c r="N180" t="s">
        <v>14</v>
      </c>
    </row>
    <row r="181" spans="4:14" x14ac:dyDescent="0.25">
      <c r="D181">
        <v>1180</v>
      </c>
      <c r="E181" s="4">
        <v>45728</v>
      </c>
      <c r="F181" t="s">
        <v>23</v>
      </c>
      <c r="G181" t="s">
        <v>29</v>
      </c>
      <c r="H181" t="s">
        <v>25</v>
      </c>
      <c r="I181" t="s">
        <v>34</v>
      </c>
      <c r="J181">
        <v>3</v>
      </c>
      <c r="K181" s="1">
        <v>30000</v>
      </c>
      <c r="L181" s="1">
        <f>Table1[[#This Row],[Unit Price]]*Table1[[#This Row],[Units]]</f>
        <v>90000</v>
      </c>
      <c r="M181" s="1">
        <v>15402</v>
      </c>
      <c r="N181" t="s">
        <v>26</v>
      </c>
    </row>
    <row r="182" spans="4:14" x14ac:dyDescent="0.25">
      <c r="D182">
        <v>1181</v>
      </c>
      <c r="E182" s="4">
        <v>45692</v>
      </c>
      <c r="F182" t="s">
        <v>32</v>
      </c>
      <c r="G182" t="s">
        <v>24</v>
      </c>
      <c r="H182" t="s">
        <v>12</v>
      </c>
      <c r="I182" t="s">
        <v>13</v>
      </c>
      <c r="J182">
        <v>7</v>
      </c>
      <c r="K182" s="1">
        <v>800</v>
      </c>
      <c r="L182" s="1">
        <f>Table1[[#This Row],[Unit Price]]*Table1[[#This Row],[Units]]</f>
        <v>5600</v>
      </c>
      <c r="M182" s="1">
        <v>1504</v>
      </c>
      <c r="N182" t="s">
        <v>14</v>
      </c>
    </row>
    <row r="183" spans="4:14" x14ac:dyDescent="0.25">
      <c r="D183">
        <v>1182</v>
      </c>
      <c r="E183" s="4">
        <v>45767</v>
      </c>
      <c r="F183" t="s">
        <v>20</v>
      </c>
      <c r="G183" t="s">
        <v>16</v>
      </c>
      <c r="H183" t="s">
        <v>31</v>
      </c>
      <c r="I183" t="s">
        <v>28</v>
      </c>
      <c r="J183">
        <v>7</v>
      </c>
      <c r="K183" s="1">
        <v>2000</v>
      </c>
      <c r="L183" s="1">
        <f>Table1[[#This Row],[Unit Price]]*Table1[[#This Row],[Units]]</f>
        <v>14000</v>
      </c>
      <c r="M183" s="1">
        <v>4677</v>
      </c>
      <c r="N183" t="s">
        <v>14</v>
      </c>
    </row>
    <row r="184" spans="4:14" x14ac:dyDescent="0.25">
      <c r="D184">
        <v>1183</v>
      </c>
      <c r="E184" s="4">
        <v>45804</v>
      </c>
      <c r="F184" t="s">
        <v>15</v>
      </c>
      <c r="G184" t="s">
        <v>11</v>
      </c>
      <c r="H184" t="s">
        <v>25</v>
      </c>
      <c r="I184" t="s">
        <v>22</v>
      </c>
      <c r="J184">
        <v>1</v>
      </c>
      <c r="K184" s="1">
        <v>15000</v>
      </c>
      <c r="L184" s="1">
        <f>Table1[[#This Row],[Unit Price]]*Table1[[#This Row],[Units]]</f>
        <v>15000</v>
      </c>
      <c r="M184" s="1">
        <v>4319</v>
      </c>
      <c r="N184" t="s">
        <v>14</v>
      </c>
    </row>
    <row r="185" spans="4:14" x14ac:dyDescent="0.25">
      <c r="D185">
        <v>1184</v>
      </c>
      <c r="E185" s="4">
        <v>45803</v>
      </c>
      <c r="F185" t="s">
        <v>15</v>
      </c>
      <c r="G185" t="s">
        <v>24</v>
      </c>
      <c r="H185" t="s">
        <v>31</v>
      </c>
      <c r="I185" t="s">
        <v>18</v>
      </c>
      <c r="J185">
        <v>6</v>
      </c>
      <c r="K185" s="1">
        <v>60000</v>
      </c>
      <c r="L185" s="1">
        <f>Table1[[#This Row],[Unit Price]]*Table1[[#This Row],[Units]]</f>
        <v>360000</v>
      </c>
      <c r="M185" s="1">
        <v>90138</v>
      </c>
      <c r="N185" t="s">
        <v>19</v>
      </c>
    </row>
    <row r="186" spans="4:14" x14ac:dyDescent="0.25">
      <c r="D186">
        <v>1185</v>
      </c>
      <c r="E186" s="4">
        <v>45699</v>
      </c>
      <c r="F186" t="s">
        <v>32</v>
      </c>
      <c r="G186" t="s">
        <v>29</v>
      </c>
      <c r="H186" t="s">
        <v>35</v>
      </c>
      <c r="I186" t="s">
        <v>28</v>
      </c>
      <c r="J186">
        <v>4</v>
      </c>
      <c r="K186" s="1">
        <v>2000</v>
      </c>
      <c r="L186" s="1">
        <f>Table1[[#This Row],[Unit Price]]*Table1[[#This Row],[Units]]</f>
        <v>8000</v>
      </c>
      <c r="M186" s="1">
        <v>1410</v>
      </c>
      <c r="N186" t="s">
        <v>14</v>
      </c>
    </row>
    <row r="187" spans="4:14" x14ac:dyDescent="0.25">
      <c r="D187">
        <v>1186</v>
      </c>
      <c r="E187" s="4">
        <v>45749</v>
      </c>
      <c r="F187" t="s">
        <v>20</v>
      </c>
      <c r="G187" t="s">
        <v>16</v>
      </c>
      <c r="H187" t="s">
        <v>21</v>
      </c>
      <c r="I187" t="s">
        <v>28</v>
      </c>
      <c r="J187">
        <v>1</v>
      </c>
      <c r="K187" s="1">
        <v>2000</v>
      </c>
      <c r="L187" s="1">
        <f>Table1[[#This Row],[Unit Price]]*Table1[[#This Row],[Units]]</f>
        <v>2000</v>
      </c>
      <c r="M187" s="1">
        <v>423</v>
      </c>
      <c r="N187" t="s">
        <v>14</v>
      </c>
    </row>
    <row r="188" spans="4:14" x14ac:dyDescent="0.25">
      <c r="D188">
        <v>1187</v>
      </c>
      <c r="E188" s="4">
        <v>45693</v>
      </c>
      <c r="F188" t="s">
        <v>32</v>
      </c>
      <c r="G188" t="s">
        <v>24</v>
      </c>
      <c r="H188" t="s">
        <v>12</v>
      </c>
      <c r="I188" t="s">
        <v>13</v>
      </c>
      <c r="J188">
        <v>7</v>
      </c>
      <c r="K188" s="1">
        <v>800</v>
      </c>
      <c r="L188" s="1">
        <f>Table1[[#This Row],[Unit Price]]*Table1[[#This Row],[Units]]</f>
        <v>5600</v>
      </c>
      <c r="M188" s="1">
        <v>1323</v>
      </c>
      <c r="N188" t="s">
        <v>14</v>
      </c>
    </row>
    <row r="189" spans="4:14" x14ac:dyDescent="0.25">
      <c r="D189">
        <v>1188</v>
      </c>
      <c r="E189" s="4">
        <v>45750</v>
      </c>
      <c r="F189" t="s">
        <v>20</v>
      </c>
      <c r="G189" t="s">
        <v>16</v>
      </c>
      <c r="H189" t="s">
        <v>33</v>
      </c>
      <c r="I189" t="s">
        <v>28</v>
      </c>
      <c r="J189">
        <v>3</v>
      </c>
      <c r="K189" s="1">
        <v>2000</v>
      </c>
      <c r="L189" s="1">
        <f>Table1[[#This Row],[Unit Price]]*Table1[[#This Row],[Units]]</f>
        <v>6000</v>
      </c>
      <c r="M189" s="1">
        <v>1234</v>
      </c>
      <c r="N189" t="s">
        <v>14</v>
      </c>
    </row>
    <row r="190" spans="4:14" x14ac:dyDescent="0.25">
      <c r="D190">
        <v>1189</v>
      </c>
      <c r="E190" s="4">
        <v>45690</v>
      </c>
      <c r="F190" t="s">
        <v>32</v>
      </c>
      <c r="G190" t="s">
        <v>29</v>
      </c>
      <c r="H190" t="s">
        <v>31</v>
      </c>
      <c r="I190" t="s">
        <v>28</v>
      </c>
      <c r="J190">
        <v>9</v>
      </c>
      <c r="K190" s="1">
        <v>2000</v>
      </c>
      <c r="L190" s="1">
        <f>Table1[[#This Row],[Unit Price]]*Table1[[#This Row],[Units]]</f>
        <v>18000</v>
      </c>
      <c r="M190" s="1">
        <v>4035</v>
      </c>
      <c r="N190" t="s">
        <v>14</v>
      </c>
    </row>
    <row r="191" spans="4:14" x14ac:dyDescent="0.25">
      <c r="D191">
        <v>1190</v>
      </c>
      <c r="E191" s="4">
        <v>45730</v>
      </c>
      <c r="F191" t="s">
        <v>23</v>
      </c>
      <c r="G191" t="s">
        <v>16</v>
      </c>
      <c r="H191" t="s">
        <v>30</v>
      </c>
      <c r="I191" t="s">
        <v>28</v>
      </c>
      <c r="J191">
        <v>7</v>
      </c>
      <c r="K191" s="1">
        <v>2000</v>
      </c>
      <c r="L191" s="1">
        <f>Table1[[#This Row],[Unit Price]]*Table1[[#This Row],[Units]]</f>
        <v>14000</v>
      </c>
      <c r="M191" s="1">
        <v>3731</v>
      </c>
      <c r="N191" t="s">
        <v>14</v>
      </c>
    </row>
    <row r="192" spans="4:14" x14ac:dyDescent="0.25">
      <c r="D192">
        <v>1191</v>
      </c>
      <c r="E192" s="4">
        <v>45782</v>
      </c>
      <c r="F192" t="s">
        <v>15</v>
      </c>
      <c r="G192" t="s">
        <v>29</v>
      </c>
      <c r="H192" t="s">
        <v>12</v>
      </c>
      <c r="I192" t="s">
        <v>18</v>
      </c>
      <c r="J192">
        <v>10</v>
      </c>
      <c r="K192" s="1">
        <v>60000</v>
      </c>
      <c r="L192" s="1">
        <f>Table1[[#This Row],[Unit Price]]*Table1[[#This Row],[Units]]</f>
        <v>600000</v>
      </c>
      <c r="M192" s="1">
        <v>157402</v>
      </c>
      <c r="N192" t="s">
        <v>19</v>
      </c>
    </row>
    <row r="193" spans="4:14" x14ac:dyDescent="0.25">
      <c r="D193">
        <v>1192</v>
      </c>
      <c r="E193" s="4">
        <v>45664</v>
      </c>
      <c r="F193" t="s">
        <v>10</v>
      </c>
      <c r="G193" t="s">
        <v>29</v>
      </c>
      <c r="H193" t="s">
        <v>30</v>
      </c>
      <c r="I193" t="s">
        <v>34</v>
      </c>
      <c r="J193">
        <v>2</v>
      </c>
      <c r="K193" s="1">
        <v>30000</v>
      </c>
      <c r="L193" s="1">
        <f>Table1[[#This Row],[Unit Price]]*Table1[[#This Row],[Units]]</f>
        <v>60000</v>
      </c>
      <c r="M193" s="1">
        <v>14961</v>
      </c>
      <c r="N193" t="s">
        <v>26</v>
      </c>
    </row>
    <row r="194" spans="4:14" x14ac:dyDescent="0.25">
      <c r="D194">
        <v>1193</v>
      </c>
      <c r="E194" s="4">
        <v>45797</v>
      </c>
      <c r="F194" t="s">
        <v>15</v>
      </c>
      <c r="G194" t="s">
        <v>11</v>
      </c>
      <c r="H194" t="s">
        <v>25</v>
      </c>
      <c r="I194" t="s">
        <v>22</v>
      </c>
      <c r="J194">
        <v>7</v>
      </c>
      <c r="K194" s="1">
        <v>15000</v>
      </c>
      <c r="L194" s="1">
        <f>Table1[[#This Row],[Unit Price]]*Table1[[#This Row],[Units]]</f>
        <v>105000</v>
      </c>
      <c r="M194" s="1">
        <v>22804</v>
      </c>
      <c r="N194" t="s">
        <v>26</v>
      </c>
    </row>
    <row r="195" spans="4:14" x14ac:dyDescent="0.25">
      <c r="D195">
        <v>1194</v>
      </c>
      <c r="E195" s="4">
        <v>45700</v>
      </c>
      <c r="F195" t="s">
        <v>32</v>
      </c>
      <c r="G195" t="s">
        <v>29</v>
      </c>
      <c r="H195" t="s">
        <v>35</v>
      </c>
      <c r="I195" t="s">
        <v>22</v>
      </c>
      <c r="J195">
        <v>5</v>
      </c>
      <c r="K195" s="1">
        <v>15000</v>
      </c>
      <c r="L195" s="1">
        <f>Table1[[#This Row],[Unit Price]]*Table1[[#This Row],[Units]]</f>
        <v>75000</v>
      </c>
      <c r="M195" s="1">
        <v>17522</v>
      </c>
      <c r="N195" t="s">
        <v>26</v>
      </c>
    </row>
    <row r="196" spans="4:14" x14ac:dyDescent="0.25">
      <c r="D196">
        <v>1195</v>
      </c>
      <c r="E196" s="4">
        <v>45761</v>
      </c>
      <c r="F196" t="s">
        <v>20</v>
      </c>
      <c r="G196" t="s">
        <v>24</v>
      </c>
      <c r="H196" t="s">
        <v>35</v>
      </c>
      <c r="I196" t="s">
        <v>34</v>
      </c>
      <c r="J196">
        <v>5</v>
      </c>
      <c r="K196" s="1">
        <v>30000</v>
      </c>
      <c r="L196" s="1">
        <f>Table1[[#This Row],[Unit Price]]*Table1[[#This Row],[Units]]</f>
        <v>150000</v>
      </c>
      <c r="M196" s="1">
        <v>45335</v>
      </c>
      <c r="N196" t="s">
        <v>26</v>
      </c>
    </row>
    <row r="197" spans="4:14" x14ac:dyDescent="0.25">
      <c r="D197">
        <v>1196</v>
      </c>
      <c r="E197" s="4">
        <v>45700</v>
      </c>
      <c r="F197" t="s">
        <v>32</v>
      </c>
      <c r="G197" t="s">
        <v>16</v>
      </c>
      <c r="H197" t="s">
        <v>33</v>
      </c>
      <c r="I197" t="s">
        <v>34</v>
      </c>
      <c r="J197">
        <v>9</v>
      </c>
      <c r="K197" s="1">
        <v>30000</v>
      </c>
      <c r="L197" s="1">
        <f>Table1[[#This Row],[Unit Price]]*Table1[[#This Row],[Units]]</f>
        <v>270000</v>
      </c>
      <c r="M197" s="1">
        <v>58185</v>
      </c>
      <c r="N197" t="s">
        <v>19</v>
      </c>
    </row>
    <row r="198" spans="4:14" x14ac:dyDescent="0.25">
      <c r="D198">
        <v>1197</v>
      </c>
      <c r="E198" s="4">
        <v>45762</v>
      </c>
      <c r="F198" t="s">
        <v>20</v>
      </c>
      <c r="G198" t="s">
        <v>16</v>
      </c>
      <c r="H198" t="s">
        <v>21</v>
      </c>
      <c r="I198" t="s">
        <v>28</v>
      </c>
      <c r="J198">
        <v>9</v>
      </c>
      <c r="K198" s="1">
        <v>2000</v>
      </c>
      <c r="L198" s="1">
        <f>Table1[[#This Row],[Unit Price]]*Table1[[#This Row],[Units]]</f>
        <v>18000</v>
      </c>
      <c r="M198" s="1">
        <v>4455</v>
      </c>
      <c r="N198" t="s">
        <v>14</v>
      </c>
    </row>
    <row r="199" spans="4:14" x14ac:dyDescent="0.25">
      <c r="D199">
        <v>1198</v>
      </c>
      <c r="E199" s="4">
        <v>45748</v>
      </c>
      <c r="F199" t="s">
        <v>20</v>
      </c>
      <c r="G199" t="s">
        <v>24</v>
      </c>
      <c r="H199" t="s">
        <v>12</v>
      </c>
      <c r="I199" t="s">
        <v>13</v>
      </c>
      <c r="J199">
        <v>9</v>
      </c>
      <c r="K199" s="1">
        <v>800</v>
      </c>
      <c r="L199" s="1">
        <f>Table1[[#This Row],[Unit Price]]*Table1[[#This Row],[Units]]</f>
        <v>7200</v>
      </c>
      <c r="M199" s="1">
        <v>2180</v>
      </c>
      <c r="N199" t="s">
        <v>14</v>
      </c>
    </row>
    <row r="200" spans="4:14" x14ac:dyDescent="0.25">
      <c r="D200">
        <v>1199</v>
      </c>
      <c r="E200" s="4">
        <v>45716</v>
      </c>
      <c r="F200" t="s">
        <v>32</v>
      </c>
      <c r="G200" t="s">
        <v>16</v>
      </c>
      <c r="H200" t="s">
        <v>12</v>
      </c>
      <c r="I200" t="s">
        <v>13</v>
      </c>
      <c r="J200">
        <v>8</v>
      </c>
      <c r="K200" s="1">
        <v>800</v>
      </c>
      <c r="L200" s="1">
        <f>Table1[[#This Row],[Unit Price]]*Table1[[#This Row],[Units]]</f>
        <v>6400</v>
      </c>
      <c r="M200" s="1">
        <v>1091</v>
      </c>
      <c r="N200" t="s">
        <v>14</v>
      </c>
    </row>
    <row r="201" spans="4:14" x14ac:dyDescent="0.25">
      <c r="D201">
        <v>1200</v>
      </c>
      <c r="E201" s="4">
        <v>45835</v>
      </c>
      <c r="F201" t="s">
        <v>27</v>
      </c>
      <c r="G201" t="s">
        <v>29</v>
      </c>
      <c r="H201" t="s">
        <v>30</v>
      </c>
      <c r="I201" t="s">
        <v>34</v>
      </c>
      <c r="J201">
        <v>1</v>
      </c>
      <c r="K201" s="1">
        <v>30000</v>
      </c>
      <c r="L201" s="1">
        <f>Table1[[#This Row],[Unit Price]]*Table1[[#This Row],[Units]]</f>
        <v>30000</v>
      </c>
      <c r="M201" s="1">
        <v>8095</v>
      </c>
      <c r="N201" t="s">
        <v>14</v>
      </c>
    </row>
    <row r="202" spans="4:14" x14ac:dyDescent="0.25">
      <c r="D202">
        <v>1201</v>
      </c>
      <c r="E202" s="4">
        <v>45793</v>
      </c>
      <c r="F202" t="s">
        <v>15</v>
      </c>
      <c r="G202" t="s">
        <v>11</v>
      </c>
      <c r="H202" t="s">
        <v>12</v>
      </c>
      <c r="I202" t="s">
        <v>18</v>
      </c>
      <c r="J202">
        <v>7</v>
      </c>
      <c r="K202" s="1">
        <v>60000</v>
      </c>
      <c r="L202" s="1">
        <f>Table1[[#This Row],[Unit Price]]*Table1[[#This Row],[Units]]</f>
        <v>420000</v>
      </c>
      <c r="M202" s="1">
        <v>81446</v>
      </c>
      <c r="N202" t="s">
        <v>19</v>
      </c>
    </row>
    <row r="203" spans="4:14" x14ac:dyDescent="0.25">
      <c r="D203">
        <v>1202</v>
      </c>
      <c r="E203" s="4">
        <v>45812</v>
      </c>
      <c r="F203" t="s">
        <v>27</v>
      </c>
      <c r="G203" t="s">
        <v>16</v>
      </c>
      <c r="H203" t="s">
        <v>30</v>
      </c>
      <c r="I203" t="s">
        <v>34</v>
      </c>
      <c r="J203">
        <v>10</v>
      </c>
      <c r="K203" s="1">
        <v>30000</v>
      </c>
      <c r="L203" s="1">
        <f>Table1[[#This Row],[Unit Price]]*Table1[[#This Row],[Units]]</f>
        <v>300000</v>
      </c>
      <c r="M203" s="1">
        <v>53297</v>
      </c>
      <c r="N203" t="s">
        <v>19</v>
      </c>
    </row>
    <row r="204" spans="4:14" x14ac:dyDescent="0.25">
      <c r="D204">
        <v>1203</v>
      </c>
      <c r="E204" s="4">
        <v>45708</v>
      </c>
      <c r="F204" t="s">
        <v>32</v>
      </c>
      <c r="G204" t="s">
        <v>16</v>
      </c>
      <c r="H204" t="s">
        <v>17</v>
      </c>
      <c r="I204" t="s">
        <v>13</v>
      </c>
      <c r="J204">
        <v>7</v>
      </c>
      <c r="K204" s="1">
        <v>800</v>
      </c>
      <c r="L204" s="1">
        <f>Table1[[#This Row],[Unit Price]]*Table1[[#This Row],[Units]]</f>
        <v>5600</v>
      </c>
      <c r="M204" s="1">
        <v>1830</v>
      </c>
      <c r="N204" t="s">
        <v>14</v>
      </c>
    </row>
    <row r="205" spans="4:14" x14ac:dyDescent="0.25">
      <c r="D205">
        <v>1204</v>
      </c>
      <c r="E205" s="4">
        <v>45809</v>
      </c>
      <c r="F205" t="s">
        <v>27</v>
      </c>
      <c r="G205" t="s">
        <v>16</v>
      </c>
      <c r="H205" t="s">
        <v>12</v>
      </c>
      <c r="I205" t="s">
        <v>13</v>
      </c>
      <c r="J205">
        <v>6</v>
      </c>
      <c r="K205" s="1">
        <v>800</v>
      </c>
      <c r="L205" s="1">
        <f>Table1[[#This Row],[Unit Price]]*Table1[[#This Row],[Units]]</f>
        <v>4800</v>
      </c>
      <c r="M205" s="1">
        <v>1634</v>
      </c>
      <c r="N205" t="s">
        <v>14</v>
      </c>
    </row>
    <row r="206" spans="4:14" x14ac:dyDescent="0.25">
      <c r="D206">
        <v>1205</v>
      </c>
      <c r="E206" s="4">
        <v>45691</v>
      </c>
      <c r="F206" t="s">
        <v>32</v>
      </c>
      <c r="G206" t="s">
        <v>24</v>
      </c>
      <c r="H206" t="s">
        <v>17</v>
      </c>
      <c r="I206" t="s">
        <v>28</v>
      </c>
      <c r="J206">
        <v>5</v>
      </c>
      <c r="K206" s="1">
        <v>2000</v>
      </c>
      <c r="L206" s="1">
        <f>Table1[[#This Row],[Unit Price]]*Table1[[#This Row],[Units]]</f>
        <v>10000</v>
      </c>
      <c r="M206" s="1">
        <v>2094</v>
      </c>
      <c r="N206" t="s">
        <v>14</v>
      </c>
    </row>
    <row r="207" spans="4:14" x14ac:dyDescent="0.25">
      <c r="D207">
        <v>1206</v>
      </c>
      <c r="E207" s="4">
        <v>45706</v>
      </c>
      <c r="F207" t="s">
        <v>32</v>
      </c>
      <c r="G207" t="s">
        <v>16</v>
      </c>
      <c r="H207" t="s">
        <v>35</v>
      </c>
      <c r="I207" t="s">
        <v>13</v>
      </c>
      <c r="J207">
        <v>8</v>
      </c>
      <c r="K207" s="1">
        <v>800</v>
      </c>
      <c r="L207" s="1">
        <f>Table1[[#This Row],[Unit Price]]*Table1[[#This Row],[Units]]</f>
        <v>6400</v>
      </c>
      <c r="M207" s="1">
        <v>1683</v>
      </c>
      <c r="N207" t="s">
        <v>14</v>
      </c>
    </row>
    <row r="208" spans="4:14" x14ac:dyDescent="0.25">
      <c r="D208">
        <v>1207</v>
      </c>
      <c r="E208" s="4">
        <v>45706</v>
      </c>
      <c r="F208" t="s">
        <v>32</v>
      </c>
      <c r="G208" t="s">
        <v>29</v>
      </c>
      <c r="H208" t="s">
        <v>25</v>
      </c>
      <c r="I208" t="s">
        <v>13</v>
      </c>
      <c r="J208">
        <v>6</v>
      </c>
      <c r="K208" s="1">
        <v>800</v>
      </c>
      <c r="L208" s="1">
        <f>Table1[[#This Row],[Unit Price]]*Table1[[#This Row],[Units]]</f>
        <v>4800</v>
      </c>
      <c r="M208" s="1">
        <v>1252</v>
      </c>
      <c r="N208" t="s">
        <v>14</v>
      </c>
    </row>
    <row r="209" spans="4:14" x14ac:dyDescent="0.25">
      <c r="D209">
        <v>1208</v>
      </c>
      <c r="E209" s="4">
        <v>45802</v>
      </c>
      <c r="F209" t="s">
        <v>15</v>
      </c>
      <c r="G209" t="s">
        <v>16</v>
      </c>
      <c r="H209" t="s">
        <v>21</v>
      </c>
      <c r="I209" t="s">
        <v>28</v>
      </c>
      <c r="J209">
        <v>1</v>
      </c>
      <c r="K209" s="1">
        <v>2000</v>
      </c>
      <c r="L209" s="1">
        <f>Table1[[#This Row],[Unit Price]]*Table1[[#This Row],[Units]]</f>
        <v>2000</v>
      </c>
      <c r="M209" s="1">
        <v>623</v>
      </c>
      <c r="N209" t="s">
        <v>14</v>
      </c>
    </row>
    <row r="210" spans="4:14" x14ac:dyDescent="0.25">
      <c r="D210">
        <v>1209</v>
      </c>
      <c r="E210" s="4">
        <v>45797</v>
      </c>
      <c r="F210" t="s">
        <v>15</v>
      </c>
      <c r="G210" t="s">
        <v>24</v>
      </c>
      <c r="H210" t="s">
        <v>35</v>
      </c>
      <c r="I210" t="s">
        <v>34</v>
      </c>
      <c r="J210">
        <v>8</v>
      </c>
      <c r="K210" s="1">
        <v>30000</v>
      </c>
      <c r="L210" s="1">
        <f>Table1[[#This Row],[Unit Price]]*Table1[[#This Row],[Units]]</f>
        <v>240000</v>
      </c>
      <c r="M210" s="1">
        <v>59026</v>
      </c>
      <c r="N210" t="s">
        <v>19</v>
      </c>
    </row>
    <row r="211" spans="4:14" x14ac:dyDescent="0.25">
      <c r="D211">
        <v>1210</v>
      </c>
      <c r="E211" s="4">
        <v>45749</v>
      </c>
      <c r="F211" t="s">
        <v>20</v>
      </c>
      <c r="G211" t="s">
        <v>16</v>
      </c>
      <c r="H211" t="s">
        <v>12</v>
      </c>
      <c r="I211" t="s">
        <v>18</v>
      </c>
      <c r="J211">
        <v>9</v>
      </c>
      <c r="K211" s="1">
        <v>60000</v>
      </c>
      <c r="L211" s="1">
        <f>Table1[[#This Row],[Unit Price]]*Table1[[#This Row],[Units]]</f>
        <v>540000</v>
      </c>
      <c r="M211" s="1">
        <v>181135</v>
      </c>
      <c r="N211" t="s">
        <v>19</v>
      </c>
    </row>
    <row r="212" spans="4:14" x14ac:dyDescent="0.25">
      <c r="D212">
        <v>1211</v>
      </c>
      <c r="E212" s="4">
        <v>45680</v>
      </c>
      <c r="F212" t="s">
        <v>10</v>
      </c>
      <c r="G212" t="s">
        <v>29</v>
      </c>
      <c r="H212" t="s">
        <v>17</v>
      </c>
      <c r="I212" t="s">
        <v>18</v>
      </c>
      <c r="J212">
        <v>3</v>
      </c>
      <c r="K212" s="1">
        <v>60000</v>
      </c>
      <c r="L212" s="1">
        <f>Table1[[#This Row],[Unit Price]]*Table1[[#This Row],[Units]]</f>
        <v>180000</v>
      </c>
      <c r="M212" s="1">
        <v>29672</v>
      </c>
      <c r="N212" t="s">
        <v>26</v>
      </c>
    </row>
    <row r="213" spans="4:14" x14ac:dyDescent="0.25">
      <c r="D213">
        <v>1212</v>
      </c>
      <c r="E213" s="4">
        <v>45789</v>
      </c>
      <c r="F213" t="s">
        <v>15</v>
      </c>
      <c r="G213" t="s">
        <v>29</v>
      </c>
      <c r="H213" t="s">
        <v>25</v>
      </c>
      <c r="I213" t="s">
        <v>22</v>
      </c>
      <c r="J213">
        <v>7</v>
      </c>
      <c r="K213" s="1">
        <v>15000</v>
      </c>
      <c r="L213" s="1">
        <f>Table1[[#This Row],[Unit Price]]*Table1[[#This Row],[Units]]</f>
        <v>105000</v>
      </c>
      <c r="M213" s="1">
        <v>22800</v>
      </c>
      <c r="N213" t="s">
        <v>26</v>
      </c>
    </row>
    <row r="214" spans="4:14" x14ac:dyDescent="0.25">
      <c r="D214">
        <v>1213</v>
      </c>
      <c r="E214" s="4">
        <v>45770</v>
      </c>
      <c r="F214" t="s">
        <v>20</v>
      </c>
      <c r="G214" t="s">
        <v>16</v>
      </c>
      <c r="H214" t="s">
        <v>21</v>
      </c>
      <c r="I214" t="s">
        <v>22</v>
      </c>
      <c r="J214">
        <v>1</v>
      </c>
      <c r="K214" s="1">
        <v>15000</v>
      </c>
      <c r="L214" s="1">
        <f>Table1[[#This Row],[Unit Price]]*Table1[[#This Row],[Units]]</f>
        <v>15000</v>
      </c>
      <c r="M214" s="1">
        <v>3657</v>
      </c>
      <c r="N214" t="s">
        <v>14</v>
      </c>
    </row>
    <row r="215" spans="4:14" x14ac:dyDescent="0.25">
      <c r="D215">
        <v>1214</v>
      </c>
      <c r="E215" s="4">
        <v>45812</v>
      </c>
      <c r="F215" t="s">
        <v>27</v>
      </c>
      <c r="G215" t="s">
        <v>24</v>
      </c>
      <c r="H215" t="s">
        <v>25</v>
      </c>
      <c r="I215" t="s">
        <v>28</v>
      </c>
      <c r="J215">
        <v>7</v>
      </c>
      <c r="K215" s="1">
        <v>2000</v>
      </c>
      <c r="L215" s="1">
        <f>Table1[[#This Row],[Unit Price]]*Table1[[#This Row],[Units]]</f>
        <v>14000</v>
      </c>
      <c r="M215" s="1">
        <v>3464</v>
      </c>
      <c r="N215" t="s">
        <v>14</v>
      </c>
    </row>
    <row r="216" spans="4:14" x14ac:dyDescent="0.25">
      <c r="D216">
        <v>1215</v>
      </c>
      <c r="E216" s="4">
        <v>45784</v>
      </c>
      <c r="F216" t="s">
        <v>15</v>
      </c>
      <c r="G216" t="s">
        <v>29</v>
      </c>
      <c r="H216" t="s">
        <v>35</v>
      </c>
      <c r="I216" t="s">
        <v>34</v>
      </c>
      <c r="J216">
        <v>1</v>
      </c>
      <c r="K216" s="1">
        <v>30000</v>
      </c>
      <c r="L216" s="1">
        <f>Table1[[#This Row],[Unit Price]]*Table1[[#This Row],[Units]]</f>
        <v>30000</v>
      </c>
      <c r="M216" s="1">
        <v>7631</v>
      </c>
      <c r="N216" t="s">
        <v>14</v>
      </c>
    </row>
    <row r="217" spans="4:14" x14ac:dyDescent="0.25">
      <c r="D217">
        <v>1216</v>
      </c>
      <c r="E217" s="4">
        <v>45784</v>
      </c>
      <c r="F217" t="s">
        <v>15</v>
      </c>
      <c r="G217" t="s">
        <v>24</v>
      </c>
      <c r="H217" t="s">
        <v>12</v>
      </c>
      <c r="I217" t="s">
        <v>22</v>
      </c>
      <c r="J217">
        <v>7</v>
      </c>
      <c r="K217" s="1">
        <v>15000</v>
      </c>
      <c r="L217" s="1">
        <f>Table1[[#This Row],[Unit Price]]*Table1[[#This Row],[Units]]</f>
        <v>105000</v>
      </c>
      <c r="M217" s="1">
        <v>18554</v>
      </c>
      <c r="N217" t="s">
        <v>26</v>
      </c>
    </row>
    <row r="218" spans="4:14" x14ac:dyDescent="0.25">
      <c r="D218">
        <v>1217</v>
      </c>
      <c r="E218" s="4">
        <v>45807</v>
      </c>
      <c r="F218" t="s">
        <v>15</v>
      </c>
      <c r="G218" t="s">
        <v>24</v>
      </c>
      <c r="H218" t="s">
        <v>25</v>
      </c>
      <c r="I218" t="s">
        <v>28</v>
      </c>
      <c r="J218">
        <v>9</v>
      </c>
      <c r="K218" s="1">
        <v>2000</v>
      </c>
      <c r="L218" s="1">
        <f>Table1[[#This Row],[Unit Price]]*Table1[[#This Row],[Units]]</f>
        <v>18000</v>
      </c>
      <c r="M218" s="1">
        <v>4670</v>
      </c>
      <c r="N218" t="s">
        <v>14</v>
      </c>
    </row>
    <row r="219" spans="4:14" x14ac:dyDescent="0.25">
      <c r="D219">
        <v>1218</v>
      </c>
      <c r="E219" s="4">
        <v>45819</v>
      </c>
      <c r="F219" t="s">
        <v>27</v>
      </c>
      <c r="G219" t="s">
        <v>24</v>
      </c>
      <c r="H219" t="s">
        <v>25</v>
      </c>
      <c r="I219" t="s">
        <v>34</v>
      </c>
      <c r="J219">
        <v>9</v>
      </c>
      <c r="K219" s="1">
        <v>30000</v>
      </c>
      <c r="L219" s="1">
        <f>Table1[[#This Row],[Unit Price]]*Table1[[#This Row],[Units]]</f>
        <v>270000</v>
      </c>
      <c r="M219" s="1">
        <v>51343</v>
      </c>
      <c r="N219" t="s">
        <v>19</v>
      </c>
    </row>
    <row r="220" spans="4:14" x14ac:dyDescent="0.25">
      <c r="D220">
        <v>1219</v>
      </c>
      <c r="E220" s="4">
        <v>45812</v>
      </c>
      <c r="F220" t="s">
        <v>27</v>
      </c>
      <c r="G220" t="s">
        <v>24</v>
      </c>
      <c r="H220" t="s">
        <v>33</v>
      </c>
      <c r="I220" t="s">
        <v>13</v>
      </c>
      <c r="J220">
        <v>6</v>
      </c>
      <c r="K220" s="1">
        <v>800</v>
      </c>
      <c r="L220" s="1">
        <f>Table1[[#This Row],[Unit Price]]*Table1[[#This Row],[Units]]</f>
        <v>4800</v>
      </c>
      <c r="M220" s="1">
        <v>1489</v>
      </c>
      <c r="N220" t="s">
        <v>14</v>
      </c>
    </row>
    <row r="221" spans="4:14" x14ac:dyDescent="0.25">
      <c r="D221">
        <v>1220</v>
      </c>
      <c r="E221" s="4">
        <v>45794</v>
      </c>
      <c r="F221" t="s">
        <v>15</v>
      </c>
      <c r="G221" t="s">
        <v>29</v>
      </c>
      <c r="H221" t="s">
        <v>33</v>
      </c>
      <c r="I221" t="s">
        <v>28</v>
      </c>
      <c r="J221">
        <v>6</v>
      </c>
      <c r="K221" s="1">
        <v>2000</v>
      </c>
      <c r="L221" s="1">
        <f>Table1[[#This Row],[Unit Price]]*Table1[[#This Row],[Units]]</f>
        <v>12000</v>
      </c>
      <c r="M221" s="1">
        <v>3814</v>
      </c>
      <c r="N221" t="s">
        <v>14</v>
      </c>
    </row>
    <row r="222" spans="4:14" x14ac:dyDescent="0.25">
      <c r="D222">
        <v>1221</v>
      </c>
      <c r="E222" s="4">
        <v>45757</v>
      </c>
      <c r="F222" t="s">
        <v>20</v>
      </c>
      <c r="G222" t="s">
        <v>11</v>
      </c>
      <c r="H222" t="s">
        <v>25</v>
      </c>
      <c r="I222" t="s">
        <v>28</v>
      </c>
      <c r="J222">
        <v>9</v>
      </c>
      <c r="K222" s="1">
        <v>2000</v>
      </c>
      <c r="L222" s="1">
        <f>Table1[[#This Row],[Unit Price]]*Table1[[#This Row],[Units]]</f>
        <v>18000</v>
      </c>
      <c r="M222" s="1">
        <v>5988</v>
      </c>
      <c r="N222" t="s">
        <v>14</v>
      </c>
    </row>
    <row r="223" spans="4:14" x14ac:dyDescent="0.25">
      <c r="D223">
        <v>1222</v>
      </c>
      <c r="E223" s="4">
        <v>45663</v>
      </c>
      <c r="F223" t="s">
        <v>10</v>
      </c>
      <c r="G223" t="s">
        <v>29</v>
      </c>
      <c r="H223" t="s">
        <v>33</v>
      </c>
      <c r="I223" t="s">
        <v>34</v>
      </c>
      <c r="J223">
        <v>5</v>
      </c>
      <c r="K223" s="1">
        <v>30000</v>
      </c>
      <c r="L223" s="1">
        <f>Table1[[#This Row],[Unit Price]]*Table1[[#This Row],[Units]]</f>
        <v>150000</v>
      </c>
      <c r="M223" s="1">
        <v>47155</v>
      </c>
      <c r="N223" t="s">
        <v>26</v>
      </c>
    </row>
    <row r="224" spans="4:14" x14ac:dyDescent="0.25">
      <c r="D224">
        <v>1223</v>
      </c>
      <c r="E224" s="4">
        <v>45664</v>
      </c>
      <c r="F224" t="s">
        <v>10</v>
      </c>
      <c r="G224" t="s">
        <v>24</v>
      </c>
      <c r="H224" t="s">
        <v>12</v>
      </c>
      <c r="I224" t="s">
        <v>18</v>
      </c>
      <c r="J224">
        <v>6</v>
      </c>
      <c r="K224" s="1">
        <v>60000</v>
      </c>
      <c r="L224" s="1">
        <f>Table1[[#This Row],[Unit Price]]*Table1[[#This Row],[Units]]</f>
        <v>360000</v>
      </c>
      <c r="M224" s="1">
        <v>79741</v>
      </c>
      <c r="N224" t="s">
        <v>19</v>
      </c>
    </row>
    <row r="225" spans="4:14" x14ac:dyDescent="0.25">
      <c r="D225">
        <v>1224</v>
      </c>
      <c r="E225" s="4">
        <v>45816</v>
      </c>
      <c r="F225" t="s">
        <v>27</v>
      </c>
      <c r="G225" t="s">
        <v>11</v>
      </c>
      <c r="H225" t="s">
        <v>31</v>
      </c>
      <c r="I225" t="s">
        <v>18</v>
      </c>
      <c r="J225">
        <v>8</v>
      </c>
      <c r="K225" s="1">
        <v>60000</v>
      </c>
      <c r="L225" s="1">
        <f>Table1[[#This Row],[Unit Price]]*Table1[[#This Row],[Units]]</f>
        <v>480000</v>
      </c>
      <c r="M225" s="1">
        <v>73621</v>
      </c>
      <c r="N225" t="s">
        <v>19</v>
      </c>
    </row>
    <row r="226" spans="4:14" x14ac:dyDescent="0.25">
      <c r="D226">
        <v>1225</v>
      </c>
      <c r="E226" s="4">
        <v>45787</v>
      </c>
      <c r="F226" t="s">
        <v>15</v>
      </c>
      <c r="G226" t="s">
        <v>29</v>
      </c>
      <c r="H226" t="s">
        <v>21</v>
      </c>
      <c r="I226" t="s">
        <v>22</v>
      </c>
      <c r="J226">
        <v>1</v>
      </c>
      <c r="K226" s="1">
        <v>15000</v>
      </c>
      <c r="L226" s="1">
        <f>Table1[[#This Row],[Unit Price]]*Table1[[#This Row],[Units]]</f>
        <v>15000</v>
      </c>
      <c r="M226" s="1">
        <v>3171</v>
      </c>
      <c r="N226" t="s">
        <v>14</v>
      </c>
    </row>
    <row r="227" spans="4:14" x14ac:dyDescent="0.25">
      <c r="D227">
        <v>1226</v>
      </c>
      <c r="E227" s="4">
        <v>45826</v>
      </c>
      <c r="F227" t="s">
        <v>27</v>
      </c>
      <c r="G227" t="s">
        <v>16</v>
      </c>
      <c r="H227" t="s">
        <v>21</v>
      </c>
      <c r="I227" t="s">
        <v>28</v>
      </c>
      <c r="J227">
        <v>6</v>
      </c>
      <c r="K227" s="1">
        <v>2000</v>
      </c>
      <c r="L227" s="1">
        <f>Table1[[#This Row],[Unit Price]]*Table1[[#This Row],[Units]]</f>
        <v>12000</v>
      </c>
      <c r="M227" s="1">
        <v>1899</v>
      </c>
      <c r="N227" t="s">
        <v>14</v>
      </c>
    </row>
    <row r="228" spans="4:14" x14ac:dyDescent="0.25">
      <c r="D228">
        <v>1227</v>
      </c>
      <c r="E228" s="4">
        <v>45792</v>
      </c>
      <c r="F228" t="s">
        <v>15</v>
      </c>
      <c r="G228" t="s">
        <v>24</v>
      </c>
      <c r="H228" t="s">
        <v>31</v>
      </c>
      <c r="I228" t="s">
        <v>18</v>
      </c>
      <c r="J228">
        <v>6</v>
      </c>
      <c r="K228" s="1">
        <v>60000</v>
      </c>
      <c r="L228" s="1">
        <f>Table1[[#This Row],[Unit Price]]*Table1[[#This Row],[Units]]</f>
        <v>360000</v>
      </c>
      <c r="M228" s="1">
        <v>80727</v>
      </c>
      <c r="N228" t="s">
        <v>19</v>
      </c>
    </row>
    <row r="229" spans="4:14" x14ac:dyDescent="0.25">
      <c r="D229">
        <v>1228</v>
      </c>
      <c r="E229" s="4">
        <v>45710</v>
      </c>
      <c r="F229" t="s">
        <v>32</v>
      </c>
      <c r="G229" t="s">
        <v>16</v>
      </c>
      <c r="H229" t="s">
        <v>21</v>
      </c>
      <c r="I229" t="s">
        <v>22</v>
      </c>
      <c r="J229">
        <v>4</v>
      </c>
      <c r="K229" s="1">
        <v>15000</v>
      </c>
      <c r="L229" s="1">
        <f>Table1[[#This Row],[Unit Price]]*Table1[[#This Row],[Units]]</f>
        <v>60000</v>
      </c>
      <c r="M229" s="1">
        <v>16794</v>
      </c>
      <c r="N229" t="s">
        <v>26</v>
      </c>
    </row>
    <row r="230" spans="4:14" x14ac:dyDescent="0.25">
      <c r="D230">
        <v>1229</v>
      </c>
      <c r="E230" s="4">
        <v>45665</v>
      </c>
      <c r="F230" t="s">
        <v>10</v>
      </c>
      <c r="G230" t="s">
        <v>29</v>
      </c>
      <c r="H230" t="s">
        <v>31</v>
      </c>
      <c r="I230" t="s">
        <v>34</v>
      </c>
      <c r="J230">
        <v>3</v>
      </c>
      <c r="K230" s="1">
        <v>30000</v>
      </c>
      <c r="L230" s="1">
        <f>Table1[[#This Row],[Unit Price]]*Table1[[#This Row],[Units]]</f>
        <v>90000</v>
      </c>
      <c r="M230" s="1">
        <v>17204</v>
      </c>
      <c r="N230" t="s">
        <v>26</v>
      </c>
    </row>
    <row r="231" spans="4:14" x14ac:dyDescent="0.25">
      <c r="D231">
        <v>1230</v>
      </c>
      <c r="E231" s="4">
        <v>45818</v>
      </c>
      <c r="F231" t="s">
        <v>27</v>
      </c>
      <c r="G231" t="s">
        <v>16</v>
      </c>
      <c r="H231" t="s">
        <v>25</v>
      </c>
      <c r="I231" t="s">
        <v>22</v>
      </c>
      <c r="J231">
        <v>1</v>
      </c>
      <c r="K231" s="1">
        <v>15000</v>
      </c>
      <c r="L231" s="1">
        <f>Table1[[#This Row],[Unit Price]]*Table1[[#This Row],[Units]]</f>
        <v>15000</v>
      </c>
      <c r="M231" s="1">
        <v>3562</v>
      </c>
      <c r="N231" t="s">
        <v>14</v>
      </c>
    </row>
    <row r="232" spans="4:14" x14ac:dyDescent="0.25">
      <c r="D232">
        <v>1231</v>
      </c>
      <c r="E232" s="4">
        <v>45814</v>
      </c>
      <c r="F232" t="s">
        <v>27</v>
      </c>
      <c r="G232" t="s">
        <v>24</v>
      </c>
      <c r="H232" t="s">
        <v>17</v>
      </c>
      <c r="I232" t="s">
        <v>34</v>
      </c>
      <c r="J232">
        <v>7</v>
      </c>
      <c r="K232" s="1">
        <v>30000</v>
      </c>
      <c r="L232" s="1">
        <f>Table1[[#This Row],[Unit Price]]*Table1[[#This Row],[Units]]</f>
        <v>210000</v>
      </c>
      <c r="M232" s="1">
        <v>67054</v>
      </c>
      <c r="N232" t="s">
        <v>19</v>
      </c>
    </row>
    <row r="233" spans="4:14" x14ac:dyDescent="0.25">
      <c r="D233">
        <v>1232</v>
      </c>
      <c r="E233" s="4">
        <v>45668</v>
      </c>
      <c r="F233" t="s">
        <v>10</v>
      </c>
      <c r="G233" t="s">
        <v>29</v>
      </c>
      <c r="H233" t="s">
        <v>30</v>
      </c>
      <c r="I233" t="s">
        <v>28</v>
      </c>
      <c r="J233">
        <v>3</v>
      </c>
      <c r="K233" s="1">
        <v>2000</v>
      </c>
      <c r="L233" s="1">
        <f>Table1[[#This Row],[Unit Price]]*Table1[[#This Row],[Units]]</f>
        <v>6000</v>
      </c>
      <c r="M233" s="1">
        <v>1369</v>
      </c>
      <c r="N233" t="s">
        <v>14</v>
      </c>
    </row>
    <row r="234" spans="4:14" x14ac:dyDescent="0.25">
      <c r="D234">
        <v>1233</v>
      </c>
      <c r="E234" s="4">
        <v>45838</v>
      </c>
      <c r="F234" t="s">
        <v>27</v>
      </c>
      <c r="G234" t="s">
        <v>16</v>
      </c>
      <c r="H234" t="s">
        <v>31</v>
      </c>
      <c r="I234" t="s">
        <v>28</v>
      </c>
      <c r="J234">
        <v>8</v>
      </c>
      <c r="K234" s="1">
        <v>2000</v>
      </c>
      <c r="L234" s="1">
        <f>Table1[[#This Row],[Unit Price]]*Table1[[#This Row],[Units]]</f>
        <v>16000</v>
      </c>
      <c r="M234" s="1">
        <v>2894</v>
      </c>
      <c r="N234" t="s">
        <v>14</v>
      </c>
    </row>
    <row r="235" spans="4:14" x14ac:dyDescent="0.25">
      <c r="D235">
        <v>1234</v>
      </c>
      <c r="E235" s="4">
        <v>45732</v>
      </c>
      <c r="F235" t="s">
        <v>23</v>
      </c>
      <c r="G235" t="s">
        <v>16</v>
      </c>
      <c r="H235" t="s">
        <v>30</v>
      </c>
      <c r="I235" t="s">
        <v>22</v>
      </c>
      <c r="J235">
        <v>5</v>
      </c>
      <c r="K235" s="1">
        <v>15000</v>
      </c>
      <c r="L235" s="1">
        <f>Table1[[#This Row],[Unit Price]]*Table1[[#This Row],[Units]]</f>
        <v>75000</v>
      </c>
      <c r="M235" s="1">
        <v>21209</v>
      </c>
      <c r="N235" t="s">
        <v>26</v>
      </c>
    </row>
    <row r="236" spans="4:14" x14ac:dyDescent="0.25">
      <c r="D236">
        <v>1235</v>
      </c>
      <c r="E236" s="4">
        <v>45827</v>
      </c>
      <c r="F236" t="s">
        <v>27</v>
      </c>
      <c r="G236" t="s">
        <v>16</v>
      </c>
      <c r="H236" t="s">
        <v>21</v>
      </c>
      <c r="I236" t="s">
        <v>34</v>
      </c>
      <c r="J236">
        <v>9</v>
      </c>
      <c r="K236" s="1">
        <v>30000</v>
      </c>
      <c r="L236" s="1">
        <f>Table1[[#This Row],[Unit Price]]*Table1[[#This Row],[Units]]</f>
        <v>270000</v>
      </c>
      <c r="M236" s="1">
        <v>51943</v>
      </c>
      <c r="N236" t="s">
        <v>19</v>
      </c>
    </row>
    <row r="237" spans="4:14" x14ac:dyDescent="0.25">
      <c r="D237">
        <v>1236</v>
      </c>
      <c r="E237" s="4">
        <v>45779</v>
      </c>
      <c r="F237" t="s">
        <v>15</v>
      </c>
      <c r="G237" t="s">
        <v>11</v>
      </c>
      <c r="H237" t="s">
        <v>25</v>
      </c>
      <c r="I237" t="s">
        <v>18</v>
      </c>
      <c r="J237">
        <v>9</v>
      </c>
      <c r="K237" s="1">
        <v>60000</v>
      </c>
      <c r="L237" s="1">
        <f>Table1[[#This Row],[Unit Price]]*Table1[[#This Row],[Units]]</f>
        <v>540000</v>
      </c>
      <c r="M237" s="1">
        <v>90545</v>
      </c>
      <c r="N237" t="s">
        <v>19</v>
      </c>
    </row>
    <row r="238" spans="4:14" x14ac:dyDescent="0.25">
      <c r="D238">
        <v>1237</v>
      </c>
      <c r="E238" s="4">
        <v>45694</v>
      </c>
      <c r="F238" t="s">
        <v>32</v>
      </c>
      <c r="G238" t="s">
        <v>11</v>
      </c>
      <c r="H238" t="s">
        <v>31</v>
      </c>
      <c r="I238" t="s">
        <v>18</v>
      </c>
      <c r="J238">
        <v>1</v>
      </c>
      <c r="K238" s="1">
        <v>60000</v>
      </c>
      <c r="L238" s="1">
        <f>Table1[[#This Row],[Unit Price]]*Table1[[#This Row],[Units]]</f>
        <v>60000</v>
      </c>
      <c r="M238" s="1">
        <v>13856</v>
      </c>
      <c r="N238" t="s">
        <v>26</v>
      </c>
    </row>
    <row r="239" spans="4:14" x14ac:dyDescent="0.25">
      <c r="D239">
        <v>1238</v>
      </c>
      <c r="E239" s="4">
        <v>45746</v>
      </c>
      <c r="F239" t="s">
        <v>23</v>
      </c>
      <c r="G239" t="s">
        <v>24</v>
      </c>
      <c r="H239" t="s">
        <v>31</v>
      </c>
      <c r="I239" t="s">
        <v>18</v>
      </c>
      <c r="J239">
        <v>6</v>
      </c>
      <c r="K239" s="1">
        <v>60000</v>
      </c>
      <c r="L239" s="1">
        <f>Table1[[#This Row],[Unit Price]]*Table1[[#This Row],[Units]]</f>
        <v>360000</v>
      </c>
      <c r="M239" s="1">
        <v>107040</v>
      </c>
      <c r="N239" t="s">
        <v>19</v>
      </c>
    </row>
    <row r="240" spans="4:14" x14ac:dyDescent="0.25">
      <c r="D240">
        <v>1239</v>
      </c>
      <c r="E240" s="4">
        <v>45776</v>
      </c>
      <c r="F240" t="s">
        <v>20</v>
      </c>
      <c r="G240" t="s">
        <v>16</v>
      </c>
      <c r="H240" t="s">
        <v>25</v>
      </c>
      <c r="I240" t="s">
        <v>13</v>
      </c>
      <c r="J240">
        <v>10</v>
      </c>
      <c r="K240" s="1">
        <v>800</v>
      </c>
      <c r="L240" s="1">
        <f>Table1[[#This Row],[Unit Price]]*Table1[[#This Row],[Units]]</f>
        <v>8000</v>
      </c>
      <c r="M240" s="1">
        <v>1990</v>
      </c>
      <c r="N240" t="s">
        <v>14</v>
      </c>
    </row>
    <row r="241" spans="4:14" x14ac:dyDescent="0.25">
      <c r="D241">
        <v>1240</v>
      </c>
      <c r="E241" s="4">
        <v>45734</v>
      </c>
      <c r="F241" t="s">
        <v>23</v>
      </c>
      <c r="G241" t="s">
        <v>29</v>
      </c>
      <c r="H241" t="s">
        <v>35</v>
      </c>
      <c r="I241" t="s">
        <v>13</v>
      </c>
      <c r="J241">
        <v>6</v>
      </c>
      <c r="K241" s="1">
        <v>800</v>
      </c>
      <c r="L241" s="1">
        <f>Table1[[#This Row],[Unit Price]]*Table1[[#This Row],[Units]]</f>
        <v>4800</v>
      </c>
      <c r="M241" s="1">
        <v>1295</v>
      </c>
      <c r="N241" t="s">
        <v>14</v>
      </c>
    </row>
    <row r="242" spans="4:14" x14ac:dyDescent="0.25">
      <c r="D242">
        <v>1241</v>
      </c>
      <c r="E242" s="4">
        <v>45721</v>
      </c>
      <c r="F242" t="s">
        <v>23</v>
      </c>
      <c r="G242" t="s">
        <v>11</v>
      </c>
      <c r="H242" t="s">
        <v>21</v>
      </c>
      <c r="I242" t="s">
        <v>22</v>
      </c>
      <c r="J242">
        <v>4</v>
      </c>
      <c r="K242" s="1">
        <v>15000</v>
      </c>
      <c r="L242" s="1">
        <f>Table1[[#This Row],[Unit Price]]*Table1[[#This Row],[Units]]</f>
        <v>60000</v>
      </c>
      <c r="M242" s="1">
        <v>13011</v>
      </c>
      <c r="N242" t="s">
        <v>26</v>
      </c>
    </row>
    <row r="243" spans="4:14" x14ac:dyDescent="0.25">
      <c r="D243">
        <v>1242</v>
      </c>
      <c r="E243" s="4">
        <v>45765</v>
      </c>
      <c r="F243" t="s">
        <v>20</v>
      </c>
      <c r="G243" t="s">
        <v>16</v>
      </c>
      <c r="H243" t="s">
        <v>33</v>
      </c>
      <c r="I243" t="s">
        <v>28</v>
      </c>
      <c r="J243">
        <v>3</v>
      </c>
      <c r="K243" s="1">
        <v>2000</v>
      </c>
      <c r="L243" s="1">
        <f>Table1[[#This Row],[Unit Price]]*Table1[[#This Row],[Units]]</f>
        <v>6000</v>
      </c>
      <c r="M243" s="1">
        <v>1022</v>
      </c>
      <c r="N243" t="s">
        <v>14</v>
      </c>
    </row>
    <row r="244" spans="4:14" x14ac:dyDescent="0.25">
      <c r="D244">
        <v>1243</v>
      </c>
      <c r="E244" s="4">
        <v>45795</v>
      </c>
      <c r="F244" t="s">
        <v>15</v>
      </c>
      <c r="G244" t="s">
        <v>16</v>
      </c>
      <c r="H244" t="s">
        <v>25</v>
      </c>
      <c r="I244" t="s">
        <v>13</v>
      </c>
      <c r="J244">
        <v>7</v>
      </c>
      <c r="K244" s="1">
        <v>800</v>
      </c>
      <c r="L244" s="1">
        <f>Table1[[#This Row],[Unit Price]]*Table1[[#This Row],[Units]]</f>
        <v>5600</v>
      </c>
      <c r="M244" s="1">
        <v>881</v>
      </c>
      <c r="N244" t="s">
        <v>14</v>
      </c>
    </row>
    <row r="245" spans="4:14" x14ac:dyDescent="0.25">
      <c r="D245">
        <v>1244</v>
      </c>
      <c r="E245" s="4">
        <v>45786</v>
      </c>
      <c r="F245" t="s">
        <v>15</v>
      </c>
      <c r="G245" t="s">
        <v>16</v>
      </c>
      <c r="H245" t="s">
        <v>17</v>
      </c>
      <c r="I245" t="s">
        <v>22</v>
      </c>
      <c r="J245">
        <v>8</v>
      </c>
      <c r="K245" s="1">
        <v>15000</v>
      </c>
      <c r="L245" s="1">
        <f>Table1[[#This Row],[Unit Price]]*Table1[[#This Row],[Units]]</f>
        <v>120000</v>
      </c>
      <c r="M245" s="1">
        <v>26336</v>
      </c>
      <c r="N245" t="s">
        <v>26</v>
      </c>
    </row>
    <row r="246" spans="4:14" x14ac:dyDescent="0.25">
      <c r="D246">
        <v>1245</v>
      </c>
      <c r="E246" s="4">
        <v>45743</v>
      </c>
      <c r="F246" t="s">
        <v>23</v>
      </c>
      <c r="G246" t="s">
        <v>11</v>
      </c>
      <c r="H246" t="s">
        <v>25</v>
      </c>
      <c r="I246" t="s">
        <v>18</v>
      </c>
      <c r="J246">
        <v>3</v>
      </c>
      <c r="K246" s="1">
        <v>60000</v>
      </c>
      <c r="L246" s="1">
        <f>Table1[[#This Row],[Unit Price]]*Table1[[#This Row],[Units]]</f>
        <v>180000</v>
      </c>
      <c r="M246" s="1">
        <v>34188</v>
      </c>
      <c r="N246" t="s">
        <v>26</v>
      </c>
    </row>
    <row r="247" spans="4:14" x14ac:dyDescent="0.25">
      <c r="D247">
        <v>1246</v>
      </c>
      <c r="E247" s="4">
        <v>45776</v>
      </c>
      <c r="F247" t="s">
        <v>20</v>
      </c>
      <c r="G247" t="s">
        <v>16</v>
      </c>
      <c r="H247" t="s">
        <v>12</v>
      </c>
      <c r="I247" t="s">
        <v>34</v>
      </c>
      <c r="J247">
        <v>9</v>
      </c>
      <c r="K247" s="1">
        <v>30000</v>
      </c>
      <c r="L247" s="1">
        <f>Table1[[#This Row],[Unit Price]]*Table1[[#This Row],[Units]]</f>
        <v>270000</v>
      </c>
      <c r="M247" s="1">
        <v>88123</v>
      </c>
      <c r="N247" t="s">
        <v>19</v>
      </c>
    </row>
    <row r="248" spans="4:14" x14ac:dyDescent="0.25">
      <c r="D248">
        <v>1247</v>
      </c>
      <c r="E248" s="4">
        <v>45672</v>
      </c>
      <c r="F248" t="s">
        <v>10</v>
      </c>
      <c r="G248" t="s">
        <v>16</v>
      </c>
      <c r="H248" t="s">
        <v>35</v>
      </c>
      <c r="I248" t="s">
        <v>22</v>
      </c>
      <c r="J248">
        <v>8</v>
      </c>
      <c r="K248" s="1">
        <v>15000</v>
      </c>
      <c r="L248" s="1">
        <f>Table1[[#This Row],[Unit Price]]*Table1[[#This Row],[Units]]</f>
        <v>120000</v>
      </c>
      <c r="M248" s="1">
        <v>18699</v>
      </c>
      <c r="N248" t="s">
        <v>26</v>
      </c>
    </row>
    <row r="249" spans="4:14" x14ac:dyDescent="0.25">
      <c r="D249">
        <v>1248</v>
      </c>
      <c r="E249" s="4">
        <v>45706</v>
      </c>
      <c r="F249" t="s">
        <v>32</v>
      </c>
      <c r="G249" t="s">
        <v>11</v>
      </c>
      <c r="H249" t="s">
        <v>33</v>
      </c>
      <c r="I249" t="s">
        <v>28</v>
      </c>
      <c r="J249">
        <v>8</v>
      </c>
      <c r="K249" s="1">
        <v>2000</v>
      </c>
      <c r="L249" s="1">
        <f>Table1[[#This Row],[Unit Price]]*Table1[[#This Row],[Units]]</f>
        <v>16000</v>
      </c>
      <c r="M249" s="1">
        <v>2545</v>
      </c>
      <c r="N249" t="s">
        <v>14</v>
      </c>
    </row>
    <row r="250" spans="4:14" x14ac:dyDescent="0.25">
      <c r="D250">
        <v>1249</v>
      </c>
      <c r="E250" s="4">
        <v>45712</v>
      </c>
      <c r="F250" t="s">
        <v>32</v>
      </c>
      <c r="G250" t="s">
        <v>11</v>
      </c>
      <c r="H250" t="s">
        <v>25</v>
      </c>
      <c r="I250" t="s">
        <v>13</v>
      </c>
      <c r="J250">
        <v>2</v>
      </c>
      <c r="K250" s="1">
        <v>800</v>
      </c>
      <c r="L250" s="1">
        <f>Table1[[#This Row],[Unit Price]]*Table1[[#This Row],[Units]]</f>
        <v>1600</v>
      </c>
      <c r="M250" s="1">
        <v>363</v>
      </c>
      <c r="N250" t="s">
        <v>14</v>
      </c>
    </row>
    <row r="251" spans="4:14" x14ac:dyDescent="0.25">
      <c r="D251">
        <v>1250</v>
      </c>
      <c r="E251" s="4">
        <v>45768</v>
      </c>
      <c r="F251" t="s">
        <v>20</v>
      </c>
      <c r="G251" t="s">
        <v>11</v>
      </c>
      <c r="H251" t="s">
        <v>21</v>
      </c>
      <c r="I251" t="s">
        <v>13</v>
      </c>
      <c r="J251">
        <v>3</v>
      </c>
      <c r="K251" s="1">
        <v>800</v>
      </c>
      <c r="L251" s="1">
        <f>Table1[[#This Row],[Unit Price]]*Table1[[#This Row],[Units]]</f>
        <v>2400</v>
      </c>
      <c r="M251" s="1">
        <v>498</v>
      </c>
      <c r="N251" t="s">
        <v>14</v>
      </c>
    </row>
    <row r="252" spans="4:14" x14ac:dyDescent="0.25">
      <c r="D252">
        <v>1251</v>
      </c>
      <c r="E252" s="4">
        <v>45833</v>
      </c>
      <c r="F252" t="s">
        <v>27</v>
      </c>
      <c r="G252" t="s">
        <v>16</v>
      </c>
      <c r="H252" t="s">
        <v>12</v>
      </c>
      <c r="I252" t="s">
        <v>13</v>
      </c>
      <c r="J252">
        <v>5</v>
      </c>
      <c r="K252" s="1">
        <v>800</v>
      </c>
      <c r="L252" s="1">
        <f>Table1[[#This Row],[Unit Price]]*Table1[[#This Row],[Units]]</f>
        <v>4000</v>
      </c>
      <c r="M252" s="1">
        <v>1308</v>
      </c>
      <c r="N252" t="s">
        <v>14</v>
      </c>
    </row>
    <row r="253" spans="4:14" x14ac:dyDescent="0.25">
      <c r="D253">
        <v>1252</v>
      </c>
      <c r="E253" s="4">
        <v>45794</v>
      </c>
      <c r="F253" t="s">
        <v>15</v>
      </c>
      <c r="G253" t="s">
        <v>24</v>
      </c>
      <c r="H253" t="s">
        <v>25</v>
      </c>
      <c r="I253" t="s">
        <v>22</v>
      </c>
      <c r="J253">
        <v>4</v>
      </c>
      <c r="K253" s="1">
        <v>15000</v>
      </c>
      <c r="L253" s="1">
        <f>Table1[[#This Row],[Unit Price]]*Table1[[#This Row],[Units]]</f>
        <v>60000</v>
      </c>
      <c r="M253" s="1">
        <v>9257</v>
      </c>
      <c r="N253" t="s">
        <v>26</v>
      </c>
    </row>
    <row r="254" spans="4:14" x14ac:dyDescent="0.25">
      <c r="D254">
        <v>1253</v>
      </c>
      <c r="E254" s="4">
        <v>45702</v>
      </c>
      <c r="F254" t="s">
        <v>32</v>
      </c>
      <c r="G254" t="s">
        <v>11</v>
      </c>
      <c r="H254" t="s">
        <v>30</v>
      </c>
      <c r="I254" t="s">
        <v>13</v>
      </c>
      <c r="J254">
        <v>6</v>
      </c>
      <c r="K254" s="1">
        <v>800</v>
      </c>
      <c r="L254" s="1">
        <f>Table1[[#This Row],[Unit Price]]*Table1[[#This Row],[Units]]</f>
        <v>4800</v>
      </c>
      <c r="M254" s="1">
        <v>1373</v>
      </c>
      <c r="N254" t="s">
        <v>14</v>
      </c>
    </row>
    <row r="255" spans="4:14" x14ac:dyDescent="0.25">
      <c r="D255">
        <v>1254</v>
      </c>
      <c r="E255" s="4">
        <v>45670</v>
      </c>
      <c r="F255" t="s">
        <v>10</v>
      </c>
      <c r="G255" t="s">
        <v>29</v>
      </c>
      <c r="H255" t="s">
        <v>35</v>
      </c>
      <c r="I255" t="s">
        <v>22</v>
      </c>
      <c r="J255">
        <v>2</v>
      </c>
      <c r="K255" s="1">
        <v>15000</v>
      </c>
      <c r="L255" s="1">
        <f>Table1[[#This Row],[Unit Price]]*Table1[[#This Row],[Units]]</f>
        <v>30000</v>
      </c>
      <c r="M255" s="1">
        <v>6974</v>
      </c>
      <c r="N255" t="s">
        <v>14</v>
      </c>
    </row>
    <row r="256" spans="4:14" x14ac:dyDescent="0.25">
      <c r="D256">
        <v>1255</v>
      </c>
      <c r="E256" s="4">
        <v>45765</v>
      </c>
      <c r="F256" t="s">
        <v>20</v>
      </c>
      <c r="G256" t="s">
        <v>24</v>
      </c>
      <c r="H256" t="s">
        <v>12</v>
      </c>
      <c r="I256" t="s">
        <v>34</v>
      </c>
      <c r="J256">
        <v>6</v>
      </c>
      <c r="K256" s="1">
        <v>30000</v>
      </c>
      <c r="L256" s="1">
        <f>Table1[[#This Row],[Unit Price]]*Table1[[#This Row],[Units]]</f>
        <v>180000</v>
      </c>
      <c r="M256" s="1">
        <v>44334</v>
      </c>
      <c r="N256" t="s">
        <v>26</v>
      </c>
    </row>
    <row r="257" spans="4:14" x14ac:dyDescent="0.25">
      <c r="D257">
        <v>1256</v>
      </c>
      <c r="E257" s="4">
        <v>45669</v>
      </c>
      <c r="F257" t="s">
        <v>10</v>
      </c>
      <c r="G257" t="s">
        <v>11</v>
      </c>
      <c r="H257" t="s">
        <v>35</v>
      </c>
      <c r="I257" t="s">
        <v>18</v>
      </c>
      <c r="J257">
        <v>8</v>
      </c>
      <c r="K257" s="1">
        <v>60000</v>
      </c>
      <c r="L257" s="1">
        <f>Table1[[#This Row],[Unit Price]]*Table1[[#This Row],[Units]]</f>
        <v>480000</v>
      </c>
      <c r="M257" s="1">
        <v>109817</v>
      </c>
      <c r="N257" t="s">
        <v>19</v>
      </c>
    </row>
    <row r="258" spans="4:14" x14ac:dyDescent="0.25">
      <c r="D258">
        <v>1257</v>
      </c>
      <c r="E258" s="4">
        <v>45749</v>
      </c>
      <c r="F258" t="s">
        <v>20</v>
      </c>
      <c r="G258" t="s">
        <v>11</v>
      </c>
      <c r="H258" t="s">
        <v>33</v>
      </c>
      <c r="I258" t="s">
        <v>18</v>
      </c>
      <c r="J258">
        <v>6</v>
      </c>
      <c r="K258" s="1">
        <v>60000</v>
      </c>
      <c r="L258" s="1">
        <f>Table1[[#This Row],[Unit Price]]*Table1[[#This Row],[Units]]</f>
        <v>360000</v>
      </c>
      <c r="M258" s="1">
        <v>88427</v>
      </c>
      <c r="N258" t="s">
        <v>19</v>
      </c>
    </row>
    <row r="259" spans="4:14" x14ac:dyDescent="0.25">
      <c r="D259">
        <v>1258</v>
      </c>
      <c r="E259" s="4">
        <v>45800</v>
      </c>
      <c r="F259" t="s">
        <v>15</v>
      </c>
      <c r="G259" t="s">
        <v>16</v>
      </c>
      <c r="H259" t="s">
        <v>33</v>
      </c>
      <c r="I259" t="s">
        <v>34</v>
      </c>
      <c r="J259">
        <v>10</v>
      </c>
      <c r="K259" s="1">
        <v>30000</v>
      </c>
      <c r="L259" s="1">
        <f>Table1[[#This Row],[Unit Price]]*Table1[[#This Row],[Units]]</f>
        <v>300000</v>
      </c>
      <c r="M259" s="1">
        <v>98321</v>
      </c>
      <c r="N259" t="s">
        <v>19</v>
      </c>
    </row>
    <row r="260" spans="4:14" x14ac:dyDescent="0.25">
      <c r="D260">
        <v>1259</v>
      </c>
      <c r="E260" s="4">
        <v>45763</v>
      </c>
      <c r="F260" t="s">
        <v>20</v>
      </c>
      <c r="G260" t="s">
        <v>24</v>
      </c>
      <c r="H260" t="s">
        <v>33</v>
      </c>
      <c r="I260" t="s">
        <v>22</v>
      </c>
      <c r="J260">
        <v>8</v>
      </c>
      <c r="K260" s="1">
        <v>15000</v>
      </c>
      <c r="L260" s="1">
        <f>Table1[[#This Row],[Unit Price]]*Table1[[#This Row],[Units]]</f>
        <v>120000</v>
      </c>
      <c r="M260" s="1">
        <v>36851</v>
      </c>
      <c r="N260" t="s">
        <v>26</v>
      </c>
    </row>
    <row r="261" spans="4:14" x14ac:dyDescent="0.25">
      <c r="D261">
        <v>1260</v>
      </c>
      <c r="E261" s="4">
        <v>45810</v>
      </c>
      <c r="F261" t="s">
        <v>27</v>
      </c>
      <c r="G261" t="s">
        <v>11</v>
      </c>
      <c r="H261" t="s">
        <v>33</v>
      </c>
      <c r="I261" t="s">
        <v>34</v>
      </c>
      <c r="J261">
        <v>3</v>
      </c>
      <c r="K261" s="1">
        <v>30000</v>
      </c>
      <c r="L261" s="1">
        <f>Table1[[#This Row],[Unit Price]]*Table1[[#This Row],[Units]]</f>
        <v>90000</v>
      </c>
      <c r="M261" s="1">
        <v>16511</v>
      </c>
      <c r="N261" t="s">
        <v>26</v>
      </c>
    </row>
    <row r="262" spans="4:14" x14ac:dyDescent="0.25">
      <c r="D262">
        <v>1261</v>
      </c>
      <c r="E262" s="4">
        <v>45735</v>
      </c>
      <c r="F262" t="s">
        <v>23</v>
      </c>
      <c r="G262" t="s">
        <v>16</v>
      </c>
      <c r="H262" t="s">
        <v>12</v>
      </c>
      <c r="I262" t="s">
        <v>13</v>
      </c>
      <c r="J262">
        <v>5</v>
      </c>
      <c r="K262" s="1">
        <v>800</v>
      </c>
      <c r="L262" s="1">
        <f>Table1[[#This Row],[Unit Price]]*Table1[[#This Row],[Units]]</f>
        <v>4000</v>
      </c>
      <c r="M262" s="1">
        <v>1101</v>
      </c>
      <c r="N262" t="s">
        <v>14</v>
      </c>
    </row>
    <row r="263" spans="4:14" x14ac:dyDescent="0.25">
      <c r="D263">
        <v>1262</v>
      </c>
      <c r="E263" s="4">
        <v>45831</v>
      </c>
      <c r="F263" t="s">
        <v>27</v>
      </c>
      <c r="G263" t="s">
        <v>24</v>
      </c>
      <c r="H263" t="s">
        <v>35</v>
      </c>
      <c r="I263" t="s">
        <v>13</v>
      </c>
      <c r="J263">
        <v>2</v>
      </c>
      <c r="K263" s="1">
        <v>800</v>
      </c>
      <c r="L263" s="1">
        <f>Table1[[#This Row],[Unit Price]]*Table1[[#This Row],[Units]]</f>
        <v>1600</v>
      </c>
      <c r="M263" s="1">
        <v>425</v>
      </c>
      <c r="N263" t="s">
        <v>14</v>
      </c>
    </row>
    <row r="264" spans="4:14" x14ac:dyDescent="0.25">
      <c r="D264">
        <v>1263</v>
      </c>
      <c r="E264" s="4">
        <v>45791</v>
      </c>
      <c r="F264" t="s">
        <v>15</v>
      </c>
      <c r="G264" t="s">
        <v>11</v>
      </c>
      <c r="H264" t="s">
        <v>17</v>
      </c>
      <c r="I264" t="s">
        <v>34</v>
      </c>
      <c r="J264">
        <v>9</v>
      </c>
      <c r="K264" s="1">
        <v>30000</v>
      </c>
      <c r="L264" s="1">
        <f>Table1[[#This Row],[Unit Price]]*Table1[[#This Row],[Units]]</f>
        <v>270000</v>
      </c>
      <c r="M264" s="1">
        <v>65587</v>
      </c>
      <c r="N264" t="s">
        <v>19</v>
      </c>
    </row>
    <row r="265" spans="4:14" x14ac:dyDescent="0.25">
      <c r="D265">
        <v>1264</v>
      </c>
      <c r="E265" s="4">
        <v>45686</v>
      </c>
      <c r="F265" t="s">
        <v>10</v>
      </c>
      <c r="G265" t="s">
        <v>11</v>
      </c>
      <c r="H265" t="s">
        <v>17</v>
      </c>
      <c r="I265" t="s">
        <v>28</v>
      </c>
      <c r="J265">
        <v>9</v>
      </c>
      <c r="K265" s="1">
        <v>2000</v>
      </c>
      <c r="L265" s="1">
        <f>Table1[[#This Row],[Unit Price]]*Table1[[#This Row],[Units]]</f>
        <v>18000</v>
      </c>
      <c r="M265" s="1">
        <v>4729</v>
      </c>
      <c r="N265" t="s">
        <v>14</v>
      </c>
    </row>
    <row r="266" spans="4:14" x14ac:dyDescent="0.25">
      <c r="D266">
        <v>1265</v>
      </c>
      <c r="E266" s="4">
        <v>45822</v>
      </c>
      <c r="F266" t="s">
        <v>27</v>
      </c>
      <c r="G266" t="s">
        <v>16</v>
      </c>
      <c r="H266" t="s">
        <v>31</v>
      </c>
      <c r="I266" t="s">
        <v>18</v>
      </c>
      <c r="J266">
        <v>7</v>
      </c>
      <c r="K266" s="1">
        <v>60000</v>
      </c>
      <c r="L266" s="1">
        <f>Table1[[#This Row],[Unit Price]]*Table1[[#This Row],[Units]]</f>
        <v>420000</v>
      </c>
      <c r="M266" s="1">
        <v>91261</v>
      </c>
      <c r="N266" t="s">
        <v>19</v>
      </c>
    </row>
    <row r="267" spans="4:14" x14ac:dyDescent="0.25">
      <c r="D267">
        <v>1266</v>
      </c>
      <c r="E267" s="4">
        <v>45683</v>
      </c>
      <c r="F267" t="s">
        <v>10</v>
      </c>
      <c r="G267" t="s">
        <v>11</v>
      </c>
      <c r="H267" t="s">
        <v>25</v>
      </c>
      <c r="I267" t="s">
        <v>13</v>
      </c>
      <c r="J267">
        <v>3</v>
      </c>
      <c r="K267" s="1">
        <v>800</v>
      </c>
      <c r="L267" s="1">
        <f>Table1[[#This Row],[Unit Price]]*Table1[[#This Row],[Units]]</f>
        <v>2400</v>
      </c>
      <c r="M267" s="1">
        <v>486</v>
      </c>
      <c r="N267" t="s">
        <v>14</v>
      </c>
    </row>
    <row r="268" spans="4:14" x14ac:dyDescent="0.25">
      <c r="D268">
        <v>1267</v>
      </c>
      <c r="E268" s="4">
        <v>45775</v>
      </c>
      <c r="F268" t="s">
        <v>20</v>
      </c>
      <c r="G268" t="s">
        <v>11</v>
      </c>
      <c r="H268" t="s">
        <v>21</v>
      </c>
      <c r="I268" t="s">
        <v>13</v>
      </c>
      <c r="J268">
        <v>2</v>
      </c>
      <c r="K268" s="1">
        <v>800</v>
      </c>
      <c r="L268" s="1">
        <f>Table1[[#This Row],[Unit Price]]*Table1[[#This Row],[Units]]</f>
        <v>1600</v>
      </c>
      <c r="M268" s="1">
        <v>546</v>
      </c>
      <c r="N268" t="s">
        <v>14</v>
      </c>
    </row>
    <row r="269" spans="4:14" x14ac:dyDescent="0.25">
      <c r="D269">
        <v>1268</v>
      </c>
      <c r="E269" s="4">
        <v>45675</v>
      </c>
      <c r="F269" t="s">
        <v>10</v>
      </c>
      <c r="G269" t="s">
        <v>24</v>
      </c>
      <c r="H269" t="s">
        <v>33</v>
      </c>
      <c r="I269" t="s">
        <v>18</v>
      </c>
      <c r="J269">
        <v>5</v>
      </c>
      <c r="K269" s="1">
        <v>60000</v>
      </c>
      <c r="L269" s="1">
        <f>Table1[[#This Row],[Unit Price]]*Table1[[#This Row],[Units]]</f>
        <v>300000</v>
      </c>
      <c r="M269" s="1">
        <v>84703</v>
      </c>
      <c r="N269" t="s">
        <v>19</v>
      </c>
    </row>
    <row r="270" spans="4:14" x14ac:dyDescent="0.25">
      <c r="D270">
        <v>1269</v>
      </c>
      <c r="E270" s="4">
        <v>45814</v>
      </c>
      <c r="F270" t="s">
        <v>27</v>
      </c>
      <c r="G270" t="s">
        <v>16</v>
      </c>
      <c r="H270" t="s">
        <v>30</v>
      </c>
      <c r="I270" t="s">
        <v>22</v>
      </c>
      <c r="J270">
        <v>4</v>
      </c>
      <c r="K270" s="1">
        <v>15000</v>
      </c>
      <c r="L270" s="1">
        <f>Table1[[#This Row],[Unit Price]]*Table1[[#This Row],[Units]]</f>
        <v>60000</v>
      </c>
      <c r="M270" s="1">
        <v>18937</v>
      </c>
      <c r="N270" t="s">
        <v>26</v>
      </c>
    </row>
    <row r="271" spans="4:14" x14ac:dyDescent="0.25">
      <c r="D271">
        <v>1270</v>
      </c>
      <c r="E271" s="4">
        <v>45757</v>
      </c>
      <c r="F271" t="s">
        <v>20</v>
      </c>
      <c r="G271" t="s">
        <v>11</v>
      </c>
      <c r="H271" t="s">
        <v>12</v>
      </c>
      <c r="I271" t="s">
        <v>22</v>
      </c>
      <c r="J271">
        <v>6</v>
      </c>
      <c r="K271" s="1">
        <v>15000</v>
      </c>
      <c r="L271" s="1">
        <f>Table1[[#This Row],[Unit Price]]*Table1[[#This Row],[Units]]</f>
        <v>90000</v>
      </c>
      <c r="M271" s="1">
        <v>19830</v>
      </c>
      <c r="N271" t="s">
        <v>26</v>
      </c>
    </row>
    <row r="272" spans="4:14" x14ac:dyDescent="0.25">
      <c r="D272">
        <v>1271</v>
      </c>
      <c r="E272" s="4">
        <v>45836</v>
      </c>
      <c r="F272" t="s">
        <v>27</v>
      </c>
      <c r="G272" t="s">
        <v>24</v>
      </c>
      <c r="H272" t="s">
        <v>31</v>
      </c>
      <c r="I272" t="s">
        <v>34</v>
      </c>
      <c r="J272">
        <v>7</v>
      </c>
      <c r="K272" s="1">
        <v>30000</v>
      </c>
      <c r="L272" s="1">
        <f>Table1[[#This Row],[Unit Price]]*Table1[[#This Row],[Units]]</f>
        <v>210000</v>
      </c>
      <c r="M272" s="1">
        <v>47592</v>
      </c>
      <c r="N272" t="s">
        <v>19</v>
      </c>
    </row>
    <row r="273" spans="4:14" x14ac:dyDescent="0.25">
      <c r="D273">
        <v>1272</v>
      </c>
      <c r="E273" s="4">
        <v>45730</v>
      </c>
      <c r="F273" t="s">
        <v>23</v>
      </c>
      <c r="G273" t="s">
        <v>24</v>
      </c>
      <c r="H273" t="s">
        <v>25</v>
      </c>
      <c r="I273" t="s">
        <v>13</v>
      </c>
      <c r="J273">
        <v>3</v>
      </c>
      <c r="K273" s="1">
        <v>800</v>
      </c>
      <c r="L273" s="1">
        <f>Table1[[#This Row],[Unit Price]]*Table1[[#This Row],[Units]]</f>
        <v>2400</v>
      </c>
      <c r="M273" s="1">
        <v>394</v>
      </c>
      <c r="N273" t="s">
        <v>14</v>
      </c>
    </row>
    <row r="274" spans="4:14" x14ac:dyDescent="0.25">
      <c r="D274">
        <v>1273</v>
      </c>
      <c r="E274" s="4">
        <v>45716</v>
      </c>
      <c r="F274" t="s">
        <v>32</v>
      </c>
      <c r="G274" t="s">
        <v>29</v>
      </c>
      <c r="H274" t="s">
        <v>17</v>
      </c>
      <c r="I274" t="s">
        <v>22</v>
      </c>
      <c r="J274">
        <v>7</v>
      </c>
      <c r="K274" s="1">
        <v>15000</v>
      </c>
      <c r="L274" s="1">
        <f>Table1[[#This Row],[Unit Price]]*Table1[[#This Row],[Units]]</f>
        <v>105000</v>
      </c>
      <c r="M274" s="1">
        <v>33136</v>
      </c>
      <c r="N274" t="s">
        <v>26</v>
      </c>
    </row>
    <row r="275" spans="4:14" x14ac:dyDescent="0.25">
      <c r="D275">
        <v>1274</v>
      </c>
      <c r="E275" s="4">
        <v>45836</v>
      </c>
      <c r="F275" t="s">
        <v>27</v>
      </c>
      <c r="G275" t="s">
        <v>16</v>
      </c>
      <c r="H275" t="s">
        <v>25</v>
      </c>
      <c r="I275" t="s">
        <v>22</v>
      </c>
      <c r="J275">
        <v>6</v>
      </c>
      <c r="K275" s="1">
        <v>15000</v>
      </c>
      <c r="L275" s="1">
        <f>Table1[[#This Row],[Unit Price]]*Table1[[#This Row],[Units]]</f>
        <v>90000</v>
      </c>
      <c r="M275" s="1">
        <v>15476</v>
      </c>
      <c r="N275" t="s">
        <v>26</v>
      </c>
    </row>
    <row r="276" spans="4:14" x14ac:dyDescent="0.25">
      <c r="D276">
        <v>1275</v>
      </c>
      <c r="E276" s="4">
        <v>45675</v>
      </c>
      <c r="F276" t="s">
        <v>10</v>
      </c>
      <c r="G276" t="s">
        <v>24</v>
      </c>
      <c r="H276" t="s">
        <v>31</v>
      </c>
      <c r="I276" t="s">
        <v>13</v>
      </c>
      <c r="J276">
        <v>1</v>
      </c>
      <c r="K276" s="1">
        <v>800</v>
      </c>
      <c r="L276" s="1">
        <f>Table1[[#This Row],[Unit Price]]*Table1[[#This Row],[Units]]</f>
        <v>800</v>
      </c>
      <c r="M276" s="1">
        <v>255</v>
      </c>
      <c r="N276" t="s">
        <v>14</v>
      </c>
    </row>
    <row r="277" spans="4:14" x14ac:dyDescent="0.25">
      <c r="D277">
        <v>1276</v>
      </c>
      <c r="E277" s="4">
        <v>45746</v>
      </c>
      <c r="F277" t="s">
        <v>23</v>
      </c>
      <c r="G277" t="s">
        <v>16</v>
      </c>
      <c r="H277" t="s">
        <v>31</v>
      </c>
      <c r="I277" t="s">
        <v>34</v>
      </c>
      <c r="J277">
        <v>8</v>
      </c>
      <c r="K277" s="1">
        <v>30000</v>
      </c>
      <c r="L277" s="1">
        <f>Table1[[#This Row],[Unit Price]]*Table1[[#This Row],[Units]]</f>
        <v>240000</v>
      </c>
      <c r="M277" s="1">
        <v>37283</v>
      </c>
      <c r="N277" t="s">
        <v>19</v>
      </c>
    </row>
    <row r="278" spans="4:14" x14ac:dyDescent="0.25">
      <c r="D278">
        <v>1277</v>
      </c>
      <c r="E278" s="4">
        <v>45792</v>
      </c>
      <c r="F278" t="s">
        <v>15</v>
      </c>
      <c r="G278" t="s">
        <v>11</v>
      </c>
      <c r="H278" t="s">
        <v>21</v>
      </c>
      <c r="I278" t="s">
        <v>18</v>
      </c>
      <c r="J278">
        <v>2</v>
      </c>
      <c r="K278" s="1">
        <v>60000</v>
      </c>
      <c r="L278" s="1">
        <f>Table1[[#This Row],[Unit Price]]*Table1[[#This Row],[Units]]</f>
        <v>120000</v>
      </c>
      <c r="M278" s="1">
        <v>26111</v>
      </c>
      <c r="N278" t="s">
        <v>26</v>
      </c>
    </row>
    <row r="279" spans="4:14" x14ac:dyDescent="0.25">
      <c r="D279">
        <v>1278</v>
      </c>
      <c r="E279" s="4">
        <v>45670</v>
      </c>
      <c r="F279" t="s">
        <v>10</v>
      </c>
      <c r="G279" t="s">
        <v>16</v>
      </c>
      <c r="H279" t="s">
        <v>30</v>
      </c>
      <c r="I279" t="s">
        <v>22</v>
      </c>
      <c r="J279">
        <v>9</v>
      </c>
      <c r="K279" s="1">
        <v>15000</v>
      </c>
      <c r="L279" s="1">
        <f>Table1[[#This Row],[Unit Price]]*Table1[[#This Row],[Units]]</f>
        <v>135000</v>
      </c>
      <c r="M279" s="1">
        <v>29730</v>
      </c>
      <c r="N279" t="s">
        <v>26</v>
      </c>
    </row>
    <row r="280" spans="4:14" x14ac:dyDescent="0.25">
      <c r="D280">
        <v>1279</v>
      </c>
      <c r="E280" s="4">
        <v>45836</v>
      </c>
      <c r="F280" t="s">
        <v>27</v>
      </c>
      <c r="G280" t="s">
        <v>29</v>
      </c>
      <c r="H280" t="s">
        <v>33</v>
      </c>
      <c r="I280" t="s">
        <v>18</v>
      </c>
      <c r="J280">
        <v>7</v>
      </c>
      <c r="K280" s="1">
        <v>60000</v>
      </c>
      <c r="L280" s="1">
        <f>Table1[[#This Row],[Unit Price]]*Table1[[#This Row],[Units]]</f>
        <v>420000</v>
      </c>
      <c r="M280" s="1">
        <v>115546</v>
      </c>
      <c r="N280" t="s">
        <v>19</v>
      </c>
    </row>
    <row r="281" spans="4:14" x14ac:dyDescent="0.25">
      <c r="D281">
        <v>1280</v>
      </c>
      <c r="E281" s="4">
        <v>45750</v>
      </c>
      <c r="F281" t="s">
        <v>20</v>
      </c>
      <c r="G281" t="s">
        <v>11</v>
      </c>
      <c r="H281" t="s">
        <v>31</v>
      </c>
      <c r="I281" t="s">
        <v>28</v>
      </c>
      <c r="J281">
        <v>2</v>
      </c>
      <c r="K281" s="1">
        <v>2000</v>
      </c>
      <c r="L281" s="1">
        <f>Table1[[#This Row],[Unit Price]]*Table1[[#This Row],[Units]]</f>
        <v>4000</v>
      </c>
      <c r="M281" s="1">
        <v>1314</v>
      </c>
      <c r="N281" t="s">
        <v>14</v>
      </c>
    </row>
    <row r="282" spans="4:14" x14ac:dyDescent="0.25">
      <c r="D282">
        <v>1281</v>
      </c>
      <c r="E282" s="4">
        <v>45811</v>
      </c>
      <c r="F282" t="s">
        <v>27</v>
      </c>
      <c r="G282" t="s">
        <v>16</v>
      </c>
      <c r="H282" t="s">
        <v>33</v>
      </c>
      <c r="I282" t="s">
        <v>34</v>
      </c>
      <c r="J282">
        <v>5</v>
      </c>
      <c r="K282" s="1">
        <v>30000</v>
      </c>
      <c r="L282" s="1">
        <f>Table1[[#This Row],[Unit Price]]*Table1[[#This Row],[Units]]</f>
        <v>150000</v>
      </c>
      <c r="M282" s="1">
        <v>46516</v>
      </c>
      <c r="N282" t="s">
        <v>26</v>
      </c>
    </row>
    <row r="283" spans="4:14" x14ac:dyDescent="0.25">
      <c r="D283">
        <v>1282</v>
      </c>
      <c r="E283" s="4">
        <v>45699</v>
      </c>
      <c r="F283" t="s">
        <v>32</v>
      </c>
      <c r="G283" t="s">
        <v>29</v>
      </c>
      <c r="H283" t="s">
        <v>33</v>
      </c>
      <c r="I283" t="s">
        <v>28</v>
      </c>
      <c r="J283">
        <v>10</v>
      </c>
      <c r="K283" s="1">
        <v>2000</v>
      </c>
      <c r="L283" s="1">
        <f>Table1[[#This Row],[Unit Price]]*Table1[[#This Row],[Units]]</f>
        <v>20000</v>
      </c>
      <c r="M283" s="1">
        <v>3282</v>
      </c>
      <c r="N283" t="s">
        <v>14</v>
      </c>
    </row>
    <row r="284" spans="4:14" x14ac:dyDescent="0.25">
      <c r="D284">
        <v>1283</v>
      </c>
      <c r="E284" s="4">
        <v>45690</v>
      </c>
      <c r="F284" t="s">
        <v>32</v>
      </c>
      <c r="G284" t="s">
        <v>29</v>
      </c>
      <c r="H284" t="s">
        <v>35</v>
      </c>
      <c r="I284" t="s">
        <v>18</v>
      </c>
      <c r="J284">
        <v>10</v>
      </c>
      <c r="K284" s="1">
        <v>60000</v>
      </c>
      <c r="L284" s="1">
        <f>Table1[[#This Row],[Unit Price]]*Table1[[#This Row],[Units]]</f>
        <v>600000</v>
      </c>
      <c r="M284" s="1">
        <v>194989</v>
      </c>
      <c r="N284" t="s">
        <v>19</v>
      </c>
    </row>
    <row r="285" spans="4:14" x14ac:dyDescent="0.25">
      <c r="D285">
        <v>1284</v>
      </c>
      <c r="E285" s="4">
        <v>45665</v>
      </c>
      <c r="F285" t="s">
        <v>10</v>
      </c>
      <c r="G285" t="s">
        <v>16</v>
      </c>
      <c r="H285" t="s">
        <v>12</v>
      </c>
      <c r="I285" t="s">
        <v>22</v>
      </c>
      <c r="J285">
        <v>2</v>
      </c>
      <c r="K285" s="1">
        <v>15000</v>
      </c>
      <c r="L285" s="1">
        <f>Table1[[#This Row],[Unit Price]]*Table1[[#This Row],[Units]]</f>
        <v>30000</v>
      </c>
      <c r="M285" s="1">
        <v>5585</v>
      </c>
      <c r="N285" t="s">
        <v>14</v>
      </c>
    </row>
    <row r="286" spans="4:14" x14ac:dyDescent="0.25">
      <c r="D286">
        <v>1285</v>
      </c>
      <c r="E286" s="4">
        <v>45720</v>
      </c>
      <c r="F286" t="s">
        <v>23</v>
      </c>
      <c r="G286" t="s">
        <v>24</v>
      </c>
      <c r="H286" t="s">
        <v>30</v>
      </c>
      <c r="I286" t="s">
        <v>13</v>
      </c>
      <c r="J286">
        <v>4</v>
      </c>
      <c r="K286" s="1">
        <v>800</v>
      </c>
      <c r="L286" s="1">
        <f>Table1[[#This Row],[Unit Price]]*Table1[[#This Row],[Units]]</f>
        <v>3200</v>
      </c>
      <c r="M286" s="1">
        <v>850</v>
      </c>
      <c r="N286" t="s">
        <v>14</v>
      </c>
    </row>
    <row r="287" spans="4:14" x14ac:dyDescent="0.25">
      <c r="D287">
        <v>1286</v>
      </c>
      <c r="E287" s="4">
        <v>45768</v>
      </c>
      <c r="F287" t="s">
        <v>20</v>
      </c>
      <c r="G287" t="s">
        <v>16</v>
      </c>
      <c r="H287" t="s">
        <v>21</v>
      </c>
      <c r="I287" t="s">
        <v>18</v>
      </c>
      <c r="J287">
        <v>5</v>
      </c>
      <c r="K287" s="1">
        <v>60000</v>
      </c>
      <c r="L287" s="1">
        <f>Table1[[#This Row],[Unit Price]]*Table1[[#This Row],[Units]]</f>
        <v>300000</v>
      </c>
      <c r="M287" s="1">
        <v>90629</v>
      </c>
      <c r="N287" t="s">
        <v>19</v>
      </c>
    </row>
    <row r="288" spans="4:14" x14ac:dyDescent="0.25">
      <c r="D288">
        <v>1287</v>
      </c>
      <c r="E288" s="4">
        <v>45764</v>
      </c>
      <c r="F288" t="s">
        <v>20</v>
      </c>
      <c r="G288" t="s">
        <v>29</v>
      </c>
      <c r="H288" t="s">
        <v>17</v>
      </c>
      <c r="I288" t="s">
        <v>13</v>
      </c>
      <c r="J288">
        <v>5</v>
      </c>
      <c r="K288" s="1">
        <v>800</v>
      </c>
      <c r="L288" s="1">
        <f>Table1[[#This Row],[Unit Price]]*Table1[[#This Row],[Units]]</f>
        <v>4000</v>
      </c>
      <c r="M288" s="1">
        <v>1121</v>
      </c>
      <c r="N288" t="s">
        <v>14</v>
      </c>
    </row>
    <row r="289" spans="4:14" x14ac:dyDescent="0.25">
      <c r="D289">
        <v>1288</v>
      </c>
      <c r="E289" s="4">
        <v>45781</v>
      </c>
      <c r="F289" t="s">
        <v>15</v>
      </c>
      <c r="G289" t="s">
        <v>16</v>
      </c>
      <c r="H289" t="s">
        <v>31</v>
      </c>
      <c r="I289" t="s">
        <v>22</v>
      </c>
      <c r="J289">
        <v>9</v>
      </c>
      <c r="K289" s="1">
        <v>15000</v>
      </c>
      <c r="L289" s="1">
        <f>Table1[[#This Row],[Unit Price]]*Table1[[#This Row],[Units]]</f>
        <v>135000</v>
      </c>
      <c r="M289" s="1">
        <v>28846</v>
      </c>
      <c r="N289" t="s">
        <v>26</v>
      </c>
    </row>
    <row r="290" spans="4:14" x14ac:dyDescent="0.25">
      <c r="D290">
        <v>1289</v>
      </c>
      <c r="E290" s="4">
        <v>45684</v>
      </c>
      <c r="F290" t="s">
        <v>10</v>
      </c>
      <c r="G290" t="s">
        <v>11</v>
      </c>
      <c r="H290" t="s">
        <v>31</v>
      </c>
      <c r="I290" t="s">
        <v>22</v>
      </c>
      <c r="J290">
        <v>3</v>
      </c>
      <c r="K290" s="1">
        <v>15000</v>
      </c>
      <c r="L290" s="1">
        <f>Table1[[#This Row],[Unit Price]]*Table1[[#This Row],[Units]]</f>
        <v>45000</v>
      </c>
      <c r="M290" s="1">
        <v>15194</v>
      </c>
      <c r="N290" t="s">
        <v>14</v>
      </c>
    </row>
    <row r="291" spans="4:14" x14ac:dyDescent="0.25">
      <c r="D291">
        <v>1290</v>
      </c>
      <c r="E291" s="4">
        <v>45816</v>
      </c>
      <c r="F291" t="s">
        <v>27</v>
      </c>
      <c r="G291" t="s">
        <v>11</v>
      </c>
      <c r="H291" t="s">
        <v>31</v>
      </c>
      <c r="I291" t="s">
        <v>18</v>
      </c>
      <c r="J291">
        <v>7</v>
      </c>
      <c r="K291" s="1">
        <v>60000</v>
      </c>
      <c r="L291" s="1">
        <f>Table1[[#This Row],[Unit Price]]*Table1[[#This Row],[Units]]</f>
        <v>420000</v>
      </c>
      <c r="M291" s="1">
        <v>123361</v>
      </c>
      <c r="N291" t="s">
        <v>19</v>
      </c>
    </row>
    <row r="292" spans="4:14" x14ac:dyDescent="0.25">
      <c r="D292">
        <v>1291</v>
      </c>
      <c r="E292" s="4">
        <v>45715</v>
      </c>
      <c r="F292" t="s">
        <v>32</v>
      </c>
      <c r="G292" t="s">
        <v>29</v>
      </c>
      <c r="H292" t="s">
        <v>21</v>
      </c>
      <c r="I292" t="s">
        <v>34</v>
      </c>
      <c r="J292">
        <v>3</v>
      </c>
      <c r="K292" s="1">
        <v>30000</v>
      </c>
      <c r="L292" s="1">
        <f>Table1[[#This Row],[Unit Price]]*Table1[[#This Row],[Units]]</f>
        <v>90000</v>
      </c>
      <c r="M292" s="1">
        <v>21277</v>
      </c>
      <c r="N292" t="s">
        <v>26</v>
      </c>
    </row>
    <row r="293" spans="4:14" x14ac:dyDescent="0.25">
      <c r="D293">
        <v>1292</v>
      </c>
      <c r="E293" s="4">
        <v>45831</v>
      </c>
      <c r="F293" t="s">
        <v>27</v>
      </c>
      <c r="G293" t="s">
        <v>11</v>
      </c>
      <c r="H293" t="s">
        <v>17</v>
      </c>
      <c r="I293" t="s">
        <v>18</v>
      </c>
      <c r="J293">
        <v>4</v>
      </c>
      <c r="K293" s="1">
        <v>60000</v>
      </c>
      <c r="L293" s="1">
        <f>Table1[[#This Row],[Unit Price]]*Table1[[#This Row],[Units]]</f>
        <v>240000</v>
      </c>
      <c r="M293" s="1">
        <v>54169</v>
      </c>
      <c r="N293" t="s">
        <v>19</v>
      </c>
    </row>
    <row r="294" spans="4:14" x14ac:dyDescent="0.25">
      <c r="D294">
        <v>1293</v>
      </c>
      <c r="E294" s="4">
        <v>45722</v>
      </c>
      <c r="F294" t="s">
        <v>23</v>
      </c>
      <c r="G294" t="s">
        <v>29</v>
      </c>
      <c r="H294" t="s">
        <v>35</v>
      </c>
      <c r="I294" t="s">
        <v>13</v>
      </c>
      <c r="J294">
        <v>9</v>
      </c>
      <c r="K294" s="1">
        <v>800</v>
      </c>
      <c r="L294" s="1">
        <f>Table1[[#This Row],[Unit Price]]*Table1[[#This Row],[Units]]</f>
        <v>7200</v>
      </c>
      <c r="M294" s="1">
        <v>1837</v>
      </c>
      <c r="N294" t="s">
        <v>14</v>
      </c>
    </row>
    <row r="295" spans="4:14" x14ac:dyDescent="0.25">
      <c r="D295">
        <v>1294</v>
      </c>
      <c r="E295" s="4">
        <v>45761</v>
      </c>
      <c r="F295" t="s">
        <v>20</v>
      </c>
      <c r="G295" t="s">
        <v>11</v>
      </c>
      <c r="H295" t="s">
        <v>25</v>
      </c>
      <c r="I295" t="s">
        <v>34</v>
      </c>
      <c r="J295">
        <v>1</v>
      </c>
      <c r="K295" s="1">
        <v>30000</v>
      </c>
      <c r="L295" s="1">
        <f>Table1[[#This Row],[Unit Price]]*Table1[[#This Row],[Units]]</f>
        <v>30000</v>
      </c>
      <c r="M295" s="1">
        <v>9569</v>
      </c>
      <c r="N295" t="s">
        <v>14</v>
      </c>
    </row>
    <row r="296" spans="4:14" x14ac:dyDescent="0.25">
      <c r="D296">
        <v>1295</v>
      </c>
      <c r="E296" s="4">
        <v>45803</v>
      </c>
      <c r="F296" t="s">
        <v>15</v>
      </c>
      <c r="G296" t="s">
        <v>24</v>
      </c>
      <c r="H296" t="s">
        <v>12</v>
      </c>
      <c r="I296" t="s">
        <v>22</v>
      </c>
      <c r="J296">
        <v>5</v>
      </c>
      <c r="K296" s="1">
        <v>15000</v>
      </c>
      <c r="L296" s="1">
        <f>Table1[[#This Row],[Unit Price]]*Table1[[#This Row],[Units]]</f>
        <v>75000</v>
      </c>
      <c r="M296" s="1">
        <v>25351</v>
      </c>
      <c r="N296" t="s">
        <v>26</v>
      </c>
    </row>
    <row r="297" spans="4:14" x14ac:dyDescent="0.25">
      <c r="D297">
        <v>1296</v>
      </c>
      <c r="E297" s="4">
        <v>45683</v>
      </c>
      <c r="F297" t="s">
        <v>10</v>
      </c>
      <c r="G297" t="s">
        <v>24</v>
      </c>
      <c r="H297" t="s">
        <v>12</v>
      </c>
      <c r="I297" t="s">
        <v>22</v>
      </c>
      <c r="J297">
        <v>1</v>
      </c>
      <c r="K297" s="1">
        <v>15000</v>
      </c>
      <c r="L297" s="1">
        <f>Table1[[#This Row],[Unit Price]]*Table1[[#This Row],[Units]]</f>
        <v>15000</v>
      </c>
      <c r="M297" s="1">
        <v>4052</v>
      </c>
      <c r="N297" t="s">
        <v>14</v>
      </c>
    </row>
    <row r="298" spans="4:14" x14ac:dyDescent="0.25">
      <c r="D298">
        <v>1297</v>
      </c>
      <c r="E298" s="4">
        <v>45827</v>
      </c>
      <c r="F298" t="s">
        <v>27</v>
      </c>
      <c r="G298" t="s">
        <v>29</v>
      </c>
      <c r="H298" t="s">
        <v>31</v>
      </c>
      <c r="I298" t="s">
        <v>18</v>
      </c>
      <c r="J298">
        <v>3</v>
      </c>
      <c r="K298" s="1">
        <v>60000</v>
      </c>
      <c r="L298" s="1">
        <f>Table1[[#This Row],[Unit Price]]*Table1[[#This Row],[Units]]</f>
        <v>180000</v>
      </c>
      <c r="M298" s="1">
        <v>48720</v>
      </c>
      <c r="N298" t="s">
        <v>26</v>
      </c>
    </row>
    <row r="299" spans="4:14" x14ac:dyDescent="0.25">
      <c r="D299">
        <v>1298</v>
      </c>
      <c r="E299" s="4">
        <v>45729</v>
      </c>
      <c r="F299" t="s">
        <v>23</v>
      </c>
      <c r="G299" t="s">
        <v>24</v>
      </c>
      <c r="H299" t="s">
        <v>25</v>
      </c>
      <c r="I299" t="s">
        <v>13</v>
      </c>
      <c r="J299">
        <v>7</v>
      </c>
      <c r="K299" s="1">
        <v>800</v>
      </c>
      <c r="L299" s="1">
        <f>Table1[[#This Row],[Unit Price]]*Table1[[#This Row],[Units]]</f>
        <v>5600</v>
      </c>
      <c r="M299" s="1">
        <v>893</v>
      </c>
      <c r="N299" t="s">
        <v>14</v>
      </c>
    </row>
    <row r="300" spans="4:14" x14ac:dyDescent="0.25">
      <c r="D300">
        <v>1299</v>
      </c>
      <c r="E300" s="4">
        <v>45688</v>
      </c>
      <c r="F300" t="s">
        <v>10</v>
      </c>
      <c r="G300" t="s">
        <v>29</v>
      </c>
      <c r="H300" t="s">
        <v>30</v>
      </c>
      <c r="I300" t="s">
        <v>28</v>
      </c>
      <c r="J300">
        <v>10</v>
      </c>
      <c r="K300" s="1">
        <v>2000</v>
      </c>
      <c r="L300" s="1">
        <f>Table1[[#This Row],[Unit Price]]*Table1[[#This Row],[Units]]</f>
        <v>20000</v>
      </c>
      <c r="M300" s="1">
        <v>4811</v>
      </c>
      <c r="N300" t="s">
        <v>14</v>
      </c>
    </row>
    <row r="301" spans="4:14" x14ac:dyDescent="0.25">
      <c r="D301">
        <v>1300</v>
      </c>
      <c r="E301" s="4">
        <v>45797</v>
      </c>
      <c r="F301" t="s">
        <v>15</v>
      </c>
      <c r="G301" t="s">
        <v>29</v>
      </c>
      <c r="H301" t="s">
        <v>31</v>
      </c>
      <c r="I301" t="s">
        <v>13</v>
      </c>
      <c r="J301">
        <v>5</v>
      </c>
      <c r="K301" s="1">
        <v>800</v>
      </c>
      <c r="L301" s="1">
        <f>Table1[[#This Row],[Unit Price]]*Table1[[#This Row],[Units]]</f>
        <v>4000</v>
      </c>
      <c r="M301" s="1">
        <v>823</v>
      </c>
      <c r="N301" t="s">
        <v>14</v>
      </c>
    </row>
    <row r="302" spans="4:14" x14ac:dyDescent="0.25">
      <c r="D302">
        <v>1301</v>
      </c>
      <c r="E302" s="4">
        <v>45811</v>
      </c>
      <c r="F302" t="s">
        <v>27</v>
      </c>
      <c r="G302" t="s">
        <v>24</v>
      </c>
      <c r="H302" t="s">
        <v>33</v>
      </c>
      <c r="I302" t="s">
        <v>18</v>
      </c>
      <c r="J302">
        <v>4</v>
      </c>
      <c r="K302" s="1">
        <v>60000</v>
      </c>
      <c r="L302" s="1">
        <f>Table1[[#This Row],[Unit Price]]*Table1[[#This Row],[Units]]</f>
        <v>240000</v>
      </c>
      <c r="M302" s="1">
        <v>72411</v>
      </c>
      <c r="N302" t="s">
        <v>19</v>
      </c>
    </row>
    <row r="303" spans="4:14" x14ac:dyDescent="0.25">
      <c r="D303">
        <v>1302</v>
      </c>
      <c r="E303" s="4">
        <v>45774</v>
      </c>
      <c r="F303" t="s">
        <v>20</v>
      </c>
      <c r="G303" t="s">
        <v>24</v>
      </c>
      <c r="H303" t="s">
        <v>33</v>
      </c>
      <c r="I303" t="s">
        <v>28</v>
      </c>
      <c r="J303">
        <v>2</v>
      </c>
      <c r="K303" s="1">
        <v>2000</v>
      </c>
      <c r="L303" s="1">
        <f>Table1[[#This Row],[Unit Price]]*Table1[[#This Row],[Units]]</f>
        <v>4000</v>
      </c>
      <c r="M303" s="1">
        <v>868</v>
      </c>
      <c r="N303" t="s">
        <v>14</v>
      </c>
    </row>
    <row r="304" spans="4:14" x14ac:dyDescent="0.25">
      <c r="D304">
        <v>1303</v>
      </c>
      <c r="E304" s="4">
        <v>45679</v>
      </c>
      <c r="F304" t="s">
        <v>10</v>
      </c>
      <c r="G304" t="s">
        <v>11</v>
      </c>
      <c r="H304" t="s">
        <v>31</v>
      </c>
      <c r="I304" t="s">
        <v>13</v>
      </c>
      <c r="J304">
        <v>1</v>
      </c>
      <c r="K304" s="1">
        <v>800</v>
      </c>
      <c r="L304" s="1">
        <f>Table1[[#This Row],[Unit Price]]*Table1[[#This Row],[Units]]</f>
        <v>800</v>
      </c>
      <c r="M304" s="1">
        <v>177</v>
      </c>
      <c r="N304" t="s">
        <v>14</v>
      </c>
    </row>
    <row r="305" spans="4:14" x14ac:dyDescent="0.25">
      <c r="D305">
        <v>1304</v>
      </c>
      <c r="E305" s="4">
        <v>45757</v>
      </c>
      <c r="F305" t="s">
        <v>20</v>
      </c>
      <c r="G305" t="s">
        <v>11</v>
      </c>
      <c r="H305" t="s">
        <v>21</v>
      </c>
      <c r="I305" t="s">
        <v>18</v>
      </c>
      <c r="J305">
        <v>8</v>
      </c>
      <c r="K305" s="1">
        <v>60000</v>
      </c>
      <c r="L305" s="1">
        <f>Table1[[#This Row],[Unit Price]]*Table1[[#This Row],[Units]]</f>
        <v>480000</v>
      </c>
      <c r="M305" s="1">
        <v>161801</v>
      </c>
      <c r="N305" t="s">
        <v>19</v>
      </c>
    </row>
    <row r="306" spans="4:14" x14ac:dyDescent="0.25">
      <c r="D306">
        <v>1305</v>
      </c>
      <c r="E306" s="4">
        <v>45758</v>
      </c>
      <c r="F306" t="s">
        <v>20</v>
      </c>
      <c r="G306" t="s">
        <v>16</v>
      </c>
      <c r="H306" t="s">
        <v>21</v>
      </c>
      <c r="I306" t="s">
        <v>18</v>
      </c>
      <c r="J306">
        <v>1</v>
      </c>
      <c r="K306" s="1">
        <v>60000</v>
      </c>
      <c r="L306" s="1">
        <f>Table1[[#This Row],[Unit Price]]*Table1[[#This Row],[Units]]</f>
        <v>60000</v>
      </c>
      <c r="M306" s="1">
        <v>17429</v>
      </c>
      <c r="N306" t="s">
        <v>26</v>
      </c>
    </row>
    <row r="307" spans="4:14" x14ac:dyDescent="0.25">
      <c r="D307">
        <v>1306</v>
      </c>
      <c r="E307" s="4">
        <v>45736</v>
      </c>
      <c r="F307" t="s">
        <v>23</v>
      </c>
      <c r="G307" t="s">
        <v>24</v>
      </c>
      <c r="H307" t="s">
        <v>35</v>
      </c>
      <c r="I307" t="s">
        <v>28</v>
      </c>
      <c r="J307">
        <v>7</v>
      </c>
      <c r="K307" s="1">
        <v>2000</v>
      </c>
      <c r="L307" s="1">
        <f>Table1[[#This Row],[Unit Price]]*Table1[[#This Row],[Units]]</f>
        <v>14000</v>
      </c>
      <c r="M307" s="1">
        <v>4640</v>
      </c>
      <c r="N307" t="s">
        <v>14</v>
      </c>
    </row>
    <row r="308" spans="4:14" x14ac:dyDescent="0.25">
      <c r="D308">
        <v>1307</v>
      </c>
      <c r="E308" s="4">
        <v>45676</v>
      </c>
      <c r="F308" t="s">
        <v>10</v>
      </c>
      <c r="G308" t="s">
        <v>24</v>
      </c>
      <c r="H308" t="s">
        <v>17</v>
      </c>
      <c r="I308" t="s">
        <v>13</v>
      </c>
      <c r="J308">
        <v>3</v>
      </c>
      <c r="K308" s="1">
        <v>800</v>
      </c>
      <c r="L308" s="1">
        <f>Table1[[#This Row],[Unit Price]]*Table1[[#This Row],[Units]]</f>
        <v>2400</v>
      </c>
      <c r="M308" s="1">
        <v>587</v>
      </c>
      <c r="N308" t="s">
        <v>14</v>
      </c>
    </row>
    <row r="309" spans="4:14" x14ac:dyDescent="0.25">
      <c r="D309">
        <v>1308</v>
      </c>
      <c r="E309" s="4">
        <v>45669</v>
      </c>
      <c r="F309" t="s">
        <v>10</v>
      </c>
      <c r="G309" t="s">
        <v>24</v>
      </c>
      <c r="H309" t="s">
        <v>25</v>
      </c>
      <c r="I309" t="s">
        <v>13</v>
      </c>
      <c r="J309">
        <v>4</v>
      </c>
      <c r="K309" s="1">
        <v>800</v>
      </c>
      <c r="L309" s="1">
        <f>Table1[[#This Row],[Unit Price]]*Table1[[#This Row],[Units]]</f>
        <v>3200</v>
      </c>
      <c r="M309" s="1">
        <v>853</v>
      </c>
      <c r="N309" t="s">
        <v>14</v>
      </c>
    </row>
    <row r="310" spans="4:14" x14ac:dyDescent="0.25">
      <c r="D310">
        <v>1309</v>
      </c>
      <c r="E310" s="4">
        <v>45789</v>
      </c>
      <c r="F310" t="s">
        <v>15</v>
      </c>
      <c r="G310" t="s">
        <v>29</v>
      </c>
      <c r="H310" t="s">
        <v>31</v>
      </c>
      <c r="I310" t="s">
        <v>22</v>
      </c>
      <c r="J310">
        <v>9</v>
      </c>
      <c r="K310" s="1">
        <v>15000</v>
      </c>
      <c r="L310" s="1">
        <f>Table1[[#This Row],[Unit Price]]*Table1[[#This Row],[Units]]</f>
        <v>135000</v>
      </c>
      <c r="M310" s="1">
        <v>39492</v>
      </c>
      <c r="N310" t="s">
        <v>26</v>
      </c>
    </row>
    <row r="311" spans="4:14" x14ac:dyDescent="0.25">
      <c r="D311">
        <v>1310</v>
      </c>
      <c r="E311" s="4">
        <v>45799</v>
      </c>
      <c r="F311" t="s">
        <v>15</v>
      </c>
      <c r="G311" t="s">
        <v>24</v>
      </c>
      <c r="H311" t="s">
        <v>17</v>
      </c>
      <c r="I311" t="s">
        <v>34</v>
      </c>
      <c r="J311">
        <v>10</v>
      </c>
      <c r="K311" s="1">
        <v>30000</v>
      </c>
      <c r="L311" s="1">
        <f>Table1[[#This Row],[Unit Price]]*Table1[[#This Row],[Units]]</f>
        <v>300000</v>
      </c>
      <c r="M311" s="1">
        <v>87680</v>
      </c>
      <c r="N311" t="s">
        <v>19</v>
      </c>
    </row>
    <row r="312" spans="4:14" x14ac:dyDescent="0.25">
      <c r="D312">
        <v>1311</v>
      </c>
      <c r="E312" s="4">
        <v>45771</v>
      </c>
      <c r="F312" t="s">
        <v>20</v>
      </c>
      <c r="G312" t="s">
        <v>11</v>
      </c>
      <c r="H312" t="s">
        <v>21</v>
      </c>
      <c r="I312" t="s">
        <v>22</v>
      </c>
      <c r="J312">
        <v>6</v>
      </c>
      <c r="K312" s="1">
        <v>15000</v>
      </c>
      <c r="L312" s="1">
        <f>Table1[[#This Row],[Unit Price]]*Table1[[#This Row],[Units]]</f>
        <v>90000</v>
      </c>
      <c r="M312" s="1">
        <v>30504</v>
      </c>
      <c r="N312" t="s">
        <v>26</v>
      </c>
    </row>
    <row r="313" spans="4:14" x14ac:dyDescent="0.25">
      <c r="D313">
        <v>1312</v>
      </c>
      <c r="E313" s="4">
        <v>45767</v>
      </c>
      <c r="F313" t="s">
        <v>20</v>
      </c>
      <c r="G313" t="s">
        <v>24</v>
      </c>
      <c r="H313" t="s">
        <v>30</v>
      </c>
      <c r="I313" t="s">
        <v>34</v>
      </c>
      <c r="J313">
        <v>3</v>
      </c>
      <c r="K313" s="1">
        <v>30000</v>
      </c>
      <c r="L313" s="1">
        <f>Table1[[#This Row],[Unit Price]]*Table1[[#This Row],[Units]]</f>
        <v>90000</v>
      </c>
      <c r="M313" s="1">
        <v>19741</v>
      </c>
      <c r="N313" t="s">
        <v>26</v>
      </c>
    </row>
    <row r="314" spans="4:14" x14ac:dyDescent="0.25">
      <c r="D314">
        <v>1313</v>
      </c>
      <c r="E314" s="4">
        <v>45760</v>
      </c>
      <c r="F314" t="s">
        <v>20</v>
      </c>
      <c r="G314" t="s">
        <v>29</v>
      </c>
      <c r="H314" t="s">
        <v>25</v>
      </c>
      <c r="I314" t="s">
        <v>13</v>
      </c>
      <c r="J314">
        <v>4</v>
      </c>
      <c r="K314" s="1">
        <v>800</v>
      </c>
      <c r="L314" s="1">
        <f>Table1[[#This Row],[Unit Price]]*Table1[[#This Row],[Units]]</f>
        <v>3200</v>
      </c>
      <c r="M314" s="1">
        <v>915</v>
      </c>
      <c r="N314" t="s">
        <v>14</v>
      </c>
    </row>
    <row r="315" spans="4:14" x14ac:dyDescent="0.25">
      <c r="D315">
        <v>1314</v>
      </c>
      <c r="E315" s="4">
        <v>45726</v>
      </c>
      <c r="F315" t="s">
        <v>23</v>
      </c>
      <c r="G315" t="s">
        <v>11</v>
      </c>
      <c r="H315" t="s">
        <v>25</v>
      </c>
      <c r="I315" t="s">
        <v>13</v>
      </c>
      <c r="J315">
        <v>7</v>
      </c>
      <c r="K315" s="1">
        <v>800</v>
      </c>
      <c r="L315" s="1">
        <f>Table1[[#This Row],[Unit Price]]*Table1[[#This Row],[Units]]</f>
        <v>5600</v>
      </c>
      <c r="M315" s="1">
        <v>1482</v>
      </c>
      <c r="N315" t="s">
        <v>14</v>
      </c>
    </row>
    <row r="316" spans="4:14" x14ac:dyDescent="0.25">
      <c r="D316">
        <v>1315</v>
      </c>
      <c r="E316" s="4">
        <v>45663</v>
      </c>
      <c r="F316" t="s">
        <v>10</v>
      </c>
      <c r="G316" t="s">
        <v>29</v>
      </c>
      <c r="H316" t="s">
        <v>17</v>
      </c>
      <c r="I316" t="s">
        <v>13</v>
      </c>
      <c r="J316">
        <v>3</v>
      </c>
      <c r="K316" s="1">
        <v>800</v>
      </c>
      <c r="L316" s="1">
        <f>Table1[[#This Row],[Unit Price]]*Table1[[#This Row],[Units]]</f>
        <v>2400</v>
      </c>
      <c r="M316" s="1">
        <v>632</v>
      </c>
      <c r="N316" t="s">
        <v>14</v>
      </c>
    </row>
    <row r="317" spans="4:14" x14ac:dyDescent="0.25">
      <c r="D317">
        <v>1316</v>
      </c>
      <c r="E317" s="4">
        <v>45758</v>
      </c>
      <c r="F317" t="s">
        <v>20</v>
      </c>
      <c r="G317" t="s">
        <v>16</v>
      </c>
      <c r="H317" t="s">
        <v>17</v>
      </c>
      <c r="I317" t="s">
        <v>28</v>
      </c>
      <c r="J317">
        <v>6</v>
      </c>
      <c r="K317" s="1">
        <v>2000</v>
      </c>
      <c r="L317" s="1">
        <f>Table1[[#This Row],[Unit Price]]*Table1[[#This Row],[Units]]</f>
        <v>12000</v>
      </c>
      <c r="M317" s="1">
        <v>2415</v>
      </c>
      <c r="N317" t="s">
        <v>14</v>
      </c>
    </row>
    <row r="318" spans="4:14" x14ac:dyDescent="0.25">
      <c r="D318">
        <v>1317</v>
      </c>
      <c r="E318" s="4">
        <v>45796</v>
      </c>
      <c r="F318" t="s">
        <v>15</v>
      </c>
      <c r="G318" t="s">
        <v>11</v>
      </c>
      <c r="H318" t="s">
        <v>31</v>
      </c>
      <c r="I318" t="s">
        <v>34</v>
      </c>
      <c r="J318">
        <v>1</v>
      </c>
      <c r="K318" s="1">
        <v>30000</v>
      </c>
      <c r="L318" s="1">
        <f>Table1[[#This Row],[Unit Price]]*Table1[[#This Row],[Units]]</f>
        <v>30000</v>
      </c>
      <c r="M318" s="1">
        <v>9146</v>
      </c>
      <c r="N318" t="s">
        <v>14</v>
      </c>
    </row>
    <row r="319" spans="4:14" x14ac:dyDescent="0.25">
      <c r="D319">
        <v>1318</v>
      </c>
      <c r="E319" s="4">
        <v>45792</v>
      </c>
      <c r="F319" t="s">
        <v>15</v>
      </c>
      <c r="G319" t="s">
        <v>16</v>
      </c>
      <c r="H319" t="s">
        <v>12</v>
      </c>
      <c r="I319" t="s">
        <v>34</v>
      </c>
      <c r="J319">
        <v>4</v>
      </c>
      <c r="K319" s="1">
        <v>30000</v>
      </c>
      <c r="L319" s="1">
        <f>Table1[[#This Row],[Unit Price]]*Table1[[#This Row],[Units]]</f>
        <v>120000</v>
      </c>
      <c r="M319" s="1">
        <v>24292</v>
      </c>
      <c r="N319" t="s">
        <v>26</v>
      </c>
    </row>
    <row r="320" spans="4:14" x14ac:dyDescent="0.25">
      <c r="D320">
        <v>1319</v>
      </c>
      <c r="E320" s="4">
        <v>45698</v>
      </c>
      <c r="F320" t="s">
        <v>32</v>
      </c>
      <c r="G320" t="s">
        <v>16</v>
      </c>
      <c r="H320" t="s">
        <v>30</v>
      </c>
      <c r="I320" t="s">
        <v>28</v>
      </c>
      <c r="J320">
        <v>9</v>
      </c>
      <c r="K320" s="1">
        <v>2000</v>
      </c>
      <c r="L320" s="1">
        <f>Table1[[#This Row],[Unit Price]]*Table1[[#This Row],[Units]]</f>
        <v>18000</v>
      </c>
      <c r="M320" s="1">
        <v>5311</v>
      </c>
      <c r="N320" t="s">
        <v>14</v>
      </c>
    </row>
    <row r="321" spans="4:14" x14ac:dyDescent="0.25">
      <c r="D321">
        <v>1320</v>
      </c>
      <c r="E321" s="4">
        <v>45713</v>
      </c>
      <c r="F321" t="s">
        <v>32</v>
      </c>
      <c r="G321" t="s">
        <v>11</v>
      </c>
      <c r="H321" t="s">
        <v>21</v>
      </c>
      <c r="I321" t="s">
        <v>34</v>
      </c>
      <c r="J321">
        <v>3</v>
      </c>
      <c r="K321" s="1">
        <v>30000</v>
      </c>
      <c r="L321" s="1">
        <f>Table1[[#This Row],[Unit Price]]*Table1[[#This Row],[Units]]</f>
        <v>90000</v>
      </c>
      <c r="M321" s="1">
        <v>29311</v>
      </c>
      <c r="N321" t="s">
        <v>26</v>
      </c>
    </row>
    <row r="322" spans="4:14" x14ac:dyDescent="0.25">
      <c r="D322">
        <v>1321</v>
      </c>
      <c r="E322" s="4">
        <v>45665</v>
      </c>
      <c r="F322" t="s">
        <v>10</v>
      </c>
      <c r="G322" t="s">
        <v>29</v>
      </c>
      <c r="H322" t="s">
        <v>35</v>
      </c>
      <c r="I322" t="s">
        <v>13</v>
      </c>
      <c r="J322">
        <v>3</v>
      </c>
      <c r="K322" s="1">
        <v>800</v>
      </c>
      <c r="L322" s="1">
        <f>Table1[[#This Row],[Unit Price]]*Table1[[#This Row],[Units]]</f>
        <v>2400</v>
      </c>
      <c r="M322" s="1">
        <v>365</v>
      </c>
      <c r="N322" t="s">
        <v>14</v>
      </c>
    </row>
    <row r="323" spans="4:14" x14ac:dyDescent="0.25">
      <c r="D323">
        <v>1322</v>
      </c>
      <c r="E323" s="4">
        <v>45780</v>
      </c>
      <c r="F323" t="s">
        <v>15</v>
      </c>
      <c r="G323" t="s">
        <v>24</v>
      </c>
      <c r="H323" t="s">
        <v>30</v>
      </c>
      <c r="I323" t="s">
        <v>34</v>
      </c>
      <c r="J323">
        <v>5</v>
      </c>
      <c r="K323" s="1">
        <v>30000</v>
      </c>
      <c r="L323" s="1">
        <f>Table1[[#This Row],[Unit Price]]*Table1[[#This Row],[Units]]</f>
        <v>150000</v>
      </c>
      <c r="M323" s="1">
        <v>42269</v>
      </c>
      <c r="N323" t="s">
        <v>26</v>
      </c>
    </row>
    <row r="324" spans="4:14" x14ac:dyDescent="0.25">
      <c r="D324">
        <v>1323</v>
      </c>
      <c r="E324" s="4">
        <v>45769</v>
      </c>
      <c r="F324" t="s">
        <v>20</v>
      </c>
      <c r="G324" t="s">
        <v>11</v>
      </c>
      <c r="H324" t="s">
        <v>33</v>
      </c>
      <c r="I324" t="s">
        <v>28</v>
      </c>
      <c r="J324">
        <v>2</v>
      </c>
      <c r="K324" s="1">
        <v>2000</v>
      </c>
      <c r="L324" s="1">
        <f>Table1[[#This Row],[Unit Price]]*Table1[[#This Row],[Units]]</f>
        <v>4000</v>
      </c>
      <c r="M324" s="1">
        <v>1035</v>
      </c>
      <c r="N324" t="s">
        <v>14</v>
      </c>
    </row>
    <row r="325" spans="4:14" x14ac:dyDescent="0.25">
      <c r="D325">
        <v>1324</v>
      </c>
      <c r="E325" s="4">
        <v>45750</v>
      </c>
      <c r="F325" t="s">
        <v>20</v>
      </c>
      <c r="G325" t="s">
        <v>11</v>
      </c>
      <c r="H325" t="s">
        <v>30</v>
      </c>
      <c r="I325" t="s">
        <v>22</v>
      </c>
      <c r="J325">
        <v>3</v>
      </c>
      <c r="K325" s="1">
        <v>15000</v>
      </c>
      <c r="L325" s="1">
        <f>Table1[[#This Row],[Unit Price]]*Table1[[#This Row],[Units]]</f>
        <v>45000</v>
      </c>
      <c r="M325" s="1">
        <v>15108</v>
      </c>
      <c r="N325" t="s">
        <v>14</v>
      </c>
    </row>
    <row r="326" spans="4:14" x14ac:dyDescent="0.25">
      <c r="D326">
        <v>1325</v>
      </c>
      <c r="E326" s="4">
        <v>45772</v>
      </c>
      <c r="F326" t="s">
        <v>20</v>
      </c>
      <c r="G326" t="s">
        <v>29</v>
      </c>
      <c r="H326" t="s">
        <v>30</v>
      </c>
      <c r="I326" t="s">
        <v>34</v>
      </c>
      <c r="J326">
        <v>4</v>
      </c>
      <c r="K326" s="1">
        <v>30000</v>
      </c>
      <c r="L326" s="1">
        <f>Table1[[#This Row],[Unit Price]]*Table1[[#This Row],[Units]]</f>
        <v>120000</v>
      </c>
      <c r="M326" s="1">
        <v>31755</v>
      </c>
      <c r="N326" t="s">
        <v>26</v>
      </c>
    </row>
    <row r="327" spans="4:14" x14ac:dyDescent="0.25">
      <c r="D327">
        <v>1326</v>
      </c>
      <c r="E327" s="4">
        <v>45696</v>
      </c>
      <c r="F327" t="s">
        <v>32</v>
      </c>
      <c r="G327" t="s">
        <v>24</v>
      </c>
      <c r="H327" t="s">
        <v>33</v>
      </c>
      <c r="I327" t="s">
        <v>28</v>
      </c>
      <c r="J327">
        <v>6</v>
      </c>
      <c r="K327" s="1">
        <v>2000</v>
      </c>
      <c r="L327" s="1">
        <f>Table1[[#This Row],[Unit Price]]*Table1[[#This Row],[Units]]</f>
        <v>12000</v>
      </c>
      <c r="M327" s="1">
        <v>2593</v>
      </c>
      <c r="N327" t="s">
        <v>14</v>
      </c>
    </row>
    <row r="328" spans="4:14" x14ac:dyDescent="0.25">
      <c r="D328">
        <v>1327</v>
      </c>
      <c r="E328" s="4">
        <v>45729</v>
      </c>
      <c r="F328" t="s">
        <v>23</v>
      </c>
      <c r="G328" t="s">
        <v>11</v>
      </c>
      <c r="H328" t="s">
        <v>31</v>
      </c>
      <c r="I328" t="s">
        <v>34</v>
      </c>
      <c r="J328">
        <v>6</v>
      </c>
      <c r="K328" s="1">
        <v>30000</v>
      </c>
      <c r="L328" s="1">
        <f>Table1[[#This Row],[Unit Price]]*Table1[[#This Row],[Units]]</f>
        <v>180000</v>
      </c>
      <c r="M328" s="1">
        <v>59955</v>
      </c>
      <c r="N328" t="s">
        <v>26</v>
      </c>
    </row>
    <row r="329" spans="4:14" x14ac:dyDescent="0.25">
      <c r="D329">
        <v>1328</v>
      </c>
      <c r="E329" s="4">
        <v>45832</v>
      </c>
      <c r="F329" t="s">
        <v>27</v>
      </c>
      <c r="G329" t="s">
        <v>16</v>
      </c>
      <c r="H329" t="s">
        <v>12</v>
      </c>
      <c r="I329" t="s">
        <v>28</v>
      </c>
      <c r="J329">
        <v>7</v>
      </c>
      <c r="K329" s="1">
        <v>2000</v>
      </c>
      <c r="L329" s="1">
        <f>Table1[[#This Row],[Unit Price]]*Table1[[#This Row],[Units]]</f>
        <v>14000</v>
      </c>
      <c r="M329" s="1">
        <v>3996</v>
      </c>
      <c r="N329" t="s">
        <v>14</v>
      </c>
    </row>
    <row r="330" spans="4:14" x14ac:dyDescent="0.25">
      <c r="D330">
        <v>1329</v>
      </c>
      <c r="E330" s="4">
        <v>45793</v>
      </c>
      <c r="F330" t="s">
        <v>15</v>
      </c>
      <c r="G330" t="s">
        <v>29</v>
      </c>
      <c r="H330" t="s">
        <v>21</v>
      </c>
      <c r="I330" t="s">
        <v>28</v>
      </c>
      <c r="J330">
        <v>5</v>
      </c>
      <c r="K330" s="1">
        <v>2000</v>
      </c>
      <c r="L330" s="1">
        <f>Table1[[#This Row],[Unit Price]]*Table1[[#This Row],[Units]]</f>
        <v>10000</v>
      </c>
      <c r="M330" s="1">
        <v>2607</v>
      </c>
      <c r="N330" t="s">
        <v>14</v>
      </c>
    </row>
    <row r="331" spans="4:14" x14ac:dyDescent="0.25">
      <c r="D331">
        <v>1330</v>
      </c>
      <c r="E331" s="4">
        <v>45793</v>
      </c>
      <c r="F331" t="s">
        <v>15</v>
      </c>
      <c r="G331" t="s">
        <v>29</v>
      </c>
      <c r="H331" t="s">
        <v>25</v>
      </c>
      <c r="I331" t="s">
        <v>34</v>
      </c>
      <c r="J331">
        <v>6</v>
      </c>
      <c r="K331" s="1">
        <v>30000</v>
      </c>
      <c r="L331" s="1">
        <f>Table1[[#This Row],[Unit Price]]*Table1[[#This Row],[Units]]</f>
        <v>180000</v>
      </c>
      <c r="M331" s="1">
        <v>59312</v>
      </c>
      <c r="N331" t="s">
        <v>26</v>
      </c>
    </row>
    <row r="332" spans="4:14" x14ac:dyDescent="0.25">
      <c r="D332">
        <v>1331</v>
      </c>
      <c r="E332" s="4">
        <v>45795</v>
      </c>
      <c r="F332" t="s">
        <v>15</v>
      </c>
      <c r="G332" t="s">
        <v>24</v>
      </c>
      <c r="H332" t="s">
        <v>33</v>
      </c>
      <c r="I332" t="s">
        <v>34</v>
      </c>
      <c r="J332">
        <v>10</v>
      </c>
      <c r="K332" s="1">
        <v>30000</v>
      </c>
      <c r="L332" s="1">
        <f>Table1[[#This Row],[Unit Price]]*Table1[[#This Row],[Units]]</f>
        <v>300000</v>
      </c>
      <c r="M332" s="1">
        <v>49279</v>
      </c>
      <c r="N332" t="s">
        <v>19</v>
      </c>
    </row>
    <row r="333" spans="4:14" x14ac:dyDescent="0.25">
      <c r="D333">
        <v>1332</v>
      </c>
      <c r="E333" s="4">
        <v>45780</v>
      </c>
      <c r="F333" t="s">
        <v>15</v>
      </c>
      <c r="G333" t="s">
        <v>11</v>
      </c>
      <c r="H333" t="s">
        <v>25</v>
      </c>
      <c r="I333" t="s">
        <v>34</v>
      </c>
      <c r="J333">
        <v>7</v>
      </c>
      <c r="K333" s="1">
        <v>30000</v>
      </c>
      <c r="L333" s="1">
        <f>Table1[[#This Row],[Unit Price]]*Table1[[#This Row],[Units]]</f>
        <v>210000</v>
      </c>
      <c r="M333" s="1">
        <v>31867</v>
      </c>
      <c r="N333" t="s">
        <v>19</v>
      </c>
    </row>
    <row r="334" spans="4:14" x14ac:dyDescent="0.25">
      <c r="D334">
        <v>1333</v>
      </c>
      <c r="E334" s="4">
        <v>45813</v>
      </c>
      <c r="F334" t="s">
        <v>27</v>
      </c>
      <c r="G334" t="s">
        <v>24</v>
      </c>
      <c r="H334" t="s">
        <v>31</v>
      </c>
      <c r="I334" t="s">
        <v>13</v>
      </c>
      <c r="J334">
        <v>2</v>
      </c>
      <c r="K334" s="1">
        <v>800</v>
      </c>
      <c r="L334" s="1">
        <f>Table1[[#This Row],[Unit Price]]*Table1[[#This Row],[Units]]</f>
        <v>1600</v>
      </c>
      <c r="M334" s="1">
        <v>460</v>
      </c>
      <c r="N334" t="s">
        <v>14</v>
      </c>
    </row>
    <row r="335" spans="4:14" x14ac:dyDescent="0.25">
      <c r="D335">
        <v>1334</v>
      </c>
      <c r="E335" s="4">
        <v>45813</v>
      </c>
      <c r="F335" t="s">
        <v>27</v>
      </c>
      <c r="G335" t="s">
        <v>24</v>
      </c>
      <c r="H335" t="s">
        <v>12</v>
      </c>
      <c r="I335" t="s">
        <v>13</v>
      </c>
      <c r="J335">
        <v>9</v>
      </c>
      <c r="K335" s="1">
        <v>800</v>
      </c>
      <c r="L335" s="1">
        <f>Table1[[#This Row],[Unit Price]]*Table1[[#This Row],[Units]]</f>
        <v>7200</v>
      </c>
      <c r="M335" s="1">
        <v>2304</v>
      </c>
      <c r="N335" t="s">
        <v>14</v>
      </c>
    </row>
    <row r="336" spans="4:14" x14ac:dyDescent="0.25">
      <c r="D336">
        <v>1335</v>
      </c>
      <c r="E336" s="4">
        <v>45726</v>
      </c>
      <c r="F336" t="s">
        <v>23</v>
      </c>
      <c r="G336" t="s">
        <v>11</v>
      </c>
      <c r="H336" t="s">
        <v>33</v>
      </c>
      <c r="I336" t="s">
        <v>28</v>
      </c>
      <c r="J336">
        <v>3</v>
      </c>
      <c r="K336" s="1">
        <v>2000</v>
      </c>
      <c r="L336" s="1">
        <f>Table1[[#This Row],[Unit Price]]*Table1[[#This Row],[Units]]</f>
        <v>6000</v>
      </c>
      <c r="M336" s="1">
        <v>1004</v>
      </c>
      <c r="N336" t="s">
        <v>14</v>
      </c>
    </row>
    <row r="337" spans="4:14" x14ac:dyDescent="0.25">
      <c r="D337">
        <v>1336</v>
      </c>
      <c r="E337" s="4">
        <v>45672</v>
      </c>
      <c r="F337" t="s">
        <v>10</v>
      </c>
      <c r="G337" t="s">
        <v>24</v>
      </c>
      <c r="H337" t="s">
        <v>31</v>
      </c>
      <c r="I337" t="s">
        <v>18</v>
      </c>
      <c r="J337">
        <v>7</v>
      </c>
      <c r="K337" s="1">
        <v>60000</v>
      </c>
      <c r="L337" s="1">
        <f>Table1[[#This Row],[Unit Price]]*Table1[[#This Row],[Units]]</f>
        <v>420000</v>
      </c>
      <c r="M337" s="1">
        <v>64691</v>
      </c>
      <c r="N337" t="s">
        <v>19</v>
      </c>
    </row>
    <row r="338" spans="4:14" x14ac:dyDescent="0.25">
      <c r="D338">
        <v>1337</v>
      </c>
      <c r="E338" s="4">
        <v>45822</v>
      </c>
      <c r="F338" t="s">
        <v>27</v>
      </c>
      <c r="G338" t="s">
        <v>29</v>
      </c>
      <c r="H338" t="s">
        <v>21</v>
      </c>
      <c r="I338" t="s">
        <v>22</v>
      </c>
      <c r="J338">
        <v>4</v>
      </c>
      <c r="K338" s="1">
        <v>15000</v>
      </c>
      <c r="L338" s="1">
        <f>Table1[[#This Row],[Unit Price]]*Table1[[#This Row],[Units]]</f>
        <v>60000</v>
      </c>
      <c r="M338" s="1">
        <v>10311</v>
      </c>
      <c r="N338" t="s">
        <v>26</v>
      </c>
    </row>
    <row r="339" spans="4:14" x14ac:dyDescent="0.25">
      <c r="D339">
        <v>1338</v>
      </c>
      <c r="E339" s="4">
        <v>45681</v>
      </c>
      <c r="F339" t="s">
        <v>10</v>
      </c>
      <c r="G339" t="s">
        <v>24</v>
      </c>
      <c r="H339" t="s">
        <v>17</v>
      </c>
      <c r="I339" t="s">
        <v>13</v>
      </c>
      <c r="J339">
        <v>9</v>
      </c>
      <c r="K339" s="1">
        <v>800</v>
      </c>
      <c r="L339" s="1">
        <f>Table1[[#This Row],[Unit Price]]*Table1[[#This Row],[Units]]</f>
        <v>7200</v>
      </c>
      <c r="M339" s="1">
        <v>1297</v>
      </c>
      <c r="N339" t="s">
        <v>14</v>
      </c>
    </row>
    <row r="340" spans="4:14" x14ac:dyDescent="0.25">
      <c r="D340">
        <v>1339</v>
      </c>
      <c r="E340" s="4">
        <v>45660</v>
      </c>
      <c r="F340" t="s">
        <v>10</v>
      </c>
      <c r="G340" t="s">
        <v>11</v>
      </c>
      <c r="H340" t="s">
        <v>12</v>
      </c>
      <c r="I340" t="s">
        <v>13</v>
      </c>
      <c r="J340">
        <v>7</v>
      </c>
      <c r="K340" s="1">
        <v>800</v>
      </c>
      <c r="L340" s="1">
        <f>Table1[[#This Row],[Unit Price]]*Table1[[#This Row],[Units]]</f>
        <v>5600</v>
      </c>
      <c r="M340" s="1">
        <v>1235</v>
      </c>
      <c r="N340" t="s">
        <v>14</v>
      </c>
    </row>
    <row r="341" spans="4:14" x14ac:dyDescent="0.25">
      <c r="D341">
        <v>1340</v>
      </c>
      <c r="E341" s="4">
        <v>45724</v>
      </c>
      <c r="F341" t="s">
        <v>23</v>
      </c>
      <c r="G341" t="s">
        <v>29</v>
      </c>
      <c r="H341" t="s">
        <v>25</v>
      </c>
      <c r="I341" t="s">
        <v>18</v>
      </c>
      <c r="J341">
        <v>3</v>
      </c>
      <c r="K341" s="1">
        <v>60000</v>
      </c>
      <c r="L341" s="1">
        <f>Table1[[#This Row],[Unit Price]]*Table1[[#This Row],[Units]]</f>
        <v>180000</v>
      </c>
      <c r="M341" s="1">
        <v>37588</v>
      </c>
      <c r="N341" t="s">
        <v>26</v>
      </c>
    </row>
    <row r="342" spans="4:14" x14ac:dyDescent="0.25">
      <c r="D342">
        <v>1341</v>
      </c>
      <c r="E342" s="4">
        <v>45829</v>
      </c>
      <c r="F342" t="s">
        <v>27</v>
      </c>
      <c r="G342" t="s">
        <v>11</v>
      </c>
      <c r="H342" t="s">
        <v>30</v>
      </c>
      <c r="I342" t="s">
        <v>18</v>
      </c>
      <c r="J342">
        <v>8</v>
      </c>
      <c r="K342" s="1">
        <v>60000</v>
      </c>
      <c r="L342" s="1">
        <f>Table1[[#This Row],[Unit Price]]*Table1[[#This Row],[Units]]</f>
        <v>480000</v>
      </c>
      <c r="M342" s="1">
        <v>160585</v>
      </c>
      <c r="N342" t="s">
        <v>19</v>
      </c>
    </row>
    <row r="343" spans="4:14" x14ac:dyDescent="0.25">
      <c r="D343">
        <v>1342</v>
      </c>
      <c r="E343" s="4">
        <v>45676</v>
      </c>
      <c r="F343" t="s">
        <v>10</v>
      </c>
      <c r="G343" t="s">
        <v>11</v>
      </c>
      <c r="H343" t="s">
        <v>12</v>
      </c>
      <c r="I343" t="s">
        <v>22</v>
      </c>
      <c r="J343">
        <v>3</v>
      </c>
      <c r="K343" s="1">
        <v>15000</v>
      </c>
      <c r="L343" s="1">
        <f>Table1[[#This Row],[Unit Price]]*Table1[[#This Row],[Units]]</f>
        <v>45000</v>
      </c>
      <c r="M343" s="1">
        <v>8311</v>
      </c>
      <c r="N343" t="s">
        <v>14</v>
      </c>
    </row>
    <row r="344" spans="4:14" x14ac:dyDescent="0.25">
      <c r="D344">
        <v>1343</v>
      </c>
      <c r="E344" s="4">
        <v>45725</v>
      </c>
      <c r="F344" t="s">
        <v>23</v>
      </c>
      <c r="G344" t="s">
        <v>11</v>
      </c>
      <c r="H344" t="s">
        <v>33</v>
      </c>
      <c r="I344" t="s">
        <v>22</v>
      </c>
      <c r="J344">
        <v>7</v>
      </c>
      <c r="K344" s="1">
        <v>15000</v>
      </c>
      <c r="L344" s="1">
        <f>Table1[[#This Row],[Unit Price]]*Table1[[#This Row],[Units]]</f>
        <v>105000</v>
      </c>
      <c r="M344" s="1">
        <v>17307</v>
      </c>
      <c r="N344" t="s">
        <v>26</v>
      </c>
    </row>
    <row r="345" spans="4:14" x14ac:dyDescent="0.25">
      <c r="D345">
        <v>1344</v>
      </c>
      <c r="E345" s="4">
        <v>45776</v>
      </c>
      <c r="F345" t="s">
        <v>20</v>
      </c>
      <c r="G345" t="s">
        <v>16</v>
      </c>
      <c r="H345" t="s">
        <v>31</v>
      </c>
      <c r="I345" t="s">
        <v>22</v>
      </c>
      <c r="J345">
        <v>8</v>
      </c>
      <c r="K345" s="1">
        <v>15000</v>
      </c>
      <c r="L345" s="1">
        <f>Table1[[#This Row],[Unit Price]]*Table1[[#This Row],[Units]]</f>
        <v>120000</v>
      </c>
      <c r="M345" s="1">
        <v>38860</v>
      </c>
      <c r="N345" t="s">
        <v>26</v>
      </c>
    </row>
    <row r="346" spans="4:14" x14ac:dyDescent="0.25">
      <c r="D346">
        <v>1345</v>
      </c>
      <c r="E346" s="4">
        <v>45801</v>
      </c>
      <c r="F346" t="s">
        <v>15</v>
      </c>
      <c r="G346" t="s">
        <v>16</v>
      </c>
      <c r="H346" t="s">
        <v>30</v>
      </c>
      <c r="I346" t="s">
        <v>13</v>
      </c>
      <c r="J346">
        <v>8</v>
      </c>
      <c r="K346" s="1">
        <v>800</v>
      </c>
      <c r="L346" s="1">
        <f>Table1[[#This Row],[Unit Price]]*Table1[[#This Row],[Units]]</f>
        <v>6400</v>
      </c>
      <c r="M346" s="1">
        <v>1041</v>
      </c>
      <c r="N346" t="s">
        <v>14</v>
      </c>
    </row>
    <row r="347" spans="4:14" x14ac:dyDescent="0.25">
      <c r="D347">
        <v>1346</v>
      </c>
      <c r="E347" s="4">
        <v>45838</v>
      </c>
      <c r="F347" t="s">
        <v>27</v>
      </c>
      <c r="G347" t="s">
        <v>11</v>
      </c>
      <c r="H347" t="s">
        <v>21</v>
      </c>
      <c r="I347" t="s">
        <v>34</v>
      </c>
      <c r="J347">
        <v>2</v>
      </c>
      <c r="K347" s="1">
        <v>30000</v>
      </c>
      <c r="L347" s="1">
        <f>Table1[[#This Row],[Unit Price]]*Table1[[#This Row],[Units]]</f>
        <v>60000</v>
      </c>
      <c r="M347" s="1">
        <v>10891</v>
      </c>
      <c r="N347" t="s">
        <v>26</v>
      </c>
    </row>
    <row r="348" spans="4:14" x14ac:dyDescent="0.25">
      <c r="D348">
        <v>1347</v>
      </c>
      <c r="E348" s="4">
        <v>45797</v>
      </c>
      <c r="F348" t="s">
        <v>15</v>
      </c>
      <c r="G348" t="s">
        <v>29</v>
      </c>
      <c r="H348" t="s">
        <v>30</v>
      </c>
      <c r="I348" t="s">
        <v>18</v>
      </c>
      <c r="J348">
        <v>1</v>
      </c>
      <c r="K348" s="1">
        <v>60000</v>
      </c>
      <c r="L348" s="1">
        <f>Table1[[#This Row],[Unit Price]]*Table1[[#This Row],[Units]]</f>
        <v>60000</v>
      </c>
      <c r="M348" s="1">
        <v>15648</v>
      </c>
      <c r="N348" t="s">
        <v>26</v>
      </c>
    </row>
    <row r="349" spans="4:14" x14ac:dyDescent="0.25">
      <c r="D349">
        <v>1348</v>
      </c>
      <c r="E349" s="4">
        <v>45665</v>
      </c>
      <c r="F349" t="s">
        <v>10</v>
      </c>
      <c r="G349" t="s">
        <v>29</v>
      </c>
      <c r="H349" t="s">
        <v>33</v>
      </c>
      <c r="I349" t="s">
        <v>13</v>
      </c>
      <c r="J349">
        <v>5</v>
      </c>
      <c r="K349" s="1">
        <v>800</v>
      </c>
      <c r="L349" s="1">
        <f>Table1[[#This Row],[Unit Price]]*Table1[[#This Row],[Units]]</f>
        <v>4000</v>
      </c>
      <c r="M349" s="1">
        <v>1167</v>
      </c>
      <c r="N349" t="s">
        <v>14</v>
      </c>
    </row>
    <row r="350" spans="4:14" x14ac:dyDescent="0.25">
      <c r="D350">
        <v>1349</v>
      </c>
      <c r="E350" s="4">
        <v>45785</v>
      </c>
      <c r="F350" t="s">
        <v>15</v>
      </c>
      <c r="G350" t="s">
        <v>16</v>
      </c>
      <c r="H350" t="s">
        <v>30</v>
      </c>
      <c r="I350" t="s">
        <v>22</v>
      </c>
      <c r="J350">
        <v>9</v>
      </c>
      <c r="K350" s="1">
        <v>15000</v>
      </c>
      <c r="L350" s="1">
        <f>Table1[[#This Row],[Unit Price]]*Table1[[#This Row],[Units]]</f>
        <v>135000</v>
      </c>
      <c r="M350" s="1">
        <v>41406</v>
      </c>
      <c r="N350" t="s">
        <v>26</v>
      </c>
    </row>
    <row r="351" spans="4:14" x14ac:dyDescent="0.25">
      <c r="D351">
        <v>1350</v>
      </c>
      <c r="E351" s="4">
        <v>45687</v>
      </c>
      <c r="F351" t="s">
        <v>10</v>
      </c>
      <c r="G351" t="s">
        <v>11</v>
      </c>
      <c r="H351" t="s">
        <v>25</v>
      </c>
      <c r="I351" t="s">
        <v>34</v>
      </c>
      <c r="J351">
        <v>8</v>
      </c>
      <c r="K351" s="1">
        <v>30000</v>
      </c>
      <c r="L351" s="1">
        <f>Table1[[#This Row],[Unit Price]]*Table1[[#This Row],[Units]]</f>
        <v>240000</v>
      </c>
      <c r="M351" s="1">
        <v>53043</v>
      </c>
      <c r="N351" t="s">
        <v>19</v>
      </c>
    </row>
    <row r="352" spans="4:14" x14ac:dyDescent="0.25">
      <c r="D352">
        <v>1351</v>
      </c>
      <c r="E352" s="4">
        <v>45719</v>
      </c>
      <c r="F352" t="s">
        <v>23</v>
      </c>
      <c r="G352" t="s">
        <v>24</v>
      </c>
      <c r="H352" t="s">
        <v>17</v>
      </c>
      <c r="I352" t="s">
        <v>22</v>
      </c>
      <c r="J352">
        <v>6</v>
      </c>
      <c r="K352" s="1">
        <v>15000</v>
      </c>
      <c r="L352" s="1">
        <f>Table1[[#This Row],[Unit Price]]*Table1[[#This Row],[Units]]</f>
        <v>90000</v>
      </c>
      <c r="M352" s="1">
        <v>24088</v>
      </c>
      <c r="N352" t="s">
        <v>26</v>
      </c>
    </row>
    <row r="353" spans="4:14" x14ac:dyDescent="0.25">
      <c r="D353">
        <v>1352</v>
      </c>
      <c r="E353" s="4">
        <v>45732</v>
      </c>
      <c r="F353" t="s">
        <v>23</v>
      </c>
      <c r="G353" t="s">
        <v>16</v>
      </c>
      <c r="H353" t="s">
        <v>12</v>
      </c>
      <c r="I353" t="s">
        <v>13</v>
      </c>
      <c r="J353">
        <v>6</v>
      </c>
      <c r="K353" s="1">
        <v>800</v>
      </c>
      <c r="L353" s="1">
        <f>Table1[[#This Row],[Unit Price]]*Table1[[#This Row],[Units]]</f>
        <v>4800</v>
      </c>
      <c r="M353" s="1">
        <v>904</v>
      </c>
      <c r="N353" t="s">
        <v>14</v>
      </c>
    </row>
    <row r="354" spans="4:14" x14ac:dyDescent="0.25">
      <c r="D354">
        <v>1353</v>
      </c>
      <c r="E354" s="4">
        <v>45809</v>
      </c>
      <c r="F354" t="s">
        <v>27</v>
      </c>
      <c r="G354" t="s">
        <v>11</v>
      </c>
      <c r="H354" t="s">
        <v>17</v>
      </c>
      <c r="I354" t="s">
        <v>18</v>
      </c>
      <c r="J354">
        <v>9</v>
      </c>
      <c r="K354" s="1">
        <v>60000</v>
      </c>
      <c r="L354" s="1">
        <f>Table1[[#This Row],[Unit Price]]*Table1[[#This Row],[Units]]</f>
        <v>540000</v>
      </c>
      <c r="M354" s="1">
        <v>175727</v>
      </c>
      <c r="N354" t="s">
        <v>19</v>
      </c>
    </row>
    <row r="355" spans="4:14" x14ac:dyDescent="0.25">
      <c r="D355">
        <v>1354</v>
      </c>
      <c r="E355" s="4">
        <v>45697</v>
      </c>
      <c r="F355" t="s">
        <v>32</v>
      </c>
      <c r="G355" t="s">
        <v>11</v>
      </c>
      <c r="H355" t="s">
        <v>17</v>
      </c>
      <c r="I355" t="s">
        <v>22</v>
      </c>
      <c r="J355">
        <v>4</v>
      </c>
      <c r="K355" s="1">
        <v>15000</v>
      </c>
      <c r="L355" s="1">
        <f>Table1[[#This Row],[Unit Price]]*Table1[[#This Row],[Units]]</f>
        <v>60000</v>
      </c>
      <c r="M355" s="1">
        <v>18972</v>
      </c>
      <c r="N355" t="s">
        <v>26</v>
      </c>
    </row>
    <row r="356" spans="4:14" x14ac:dyDescent="0.25">
      <c r="D356">
        <v>1355</v>
      </c>
      <c r="E356" s="4">
        <v>45823</v>
      </c>
      <c r="F356" t="s">
        <v>27</v>
      </c>
      <c r="G356" t="s">
        <v>16</v>
      </c>
      <c r="H356" t="s">
        <v>12</v>
      </c>
      <c r="I356" t="s">
        <v>28</v>
      </c>
      <c r="J356">
        <v>5</v>
      </c>
      <c r="K356" s="1">
        <v>2000</v>
      </c>
      <c r="L356" s="1">
        <f>Table1[[#This Row],[Unit Price]]*Table1[[#This Row],[Units]]</f>
        <v>10000</v>
      </c>
      <c r="M356" s="1">
        <v>3221</v>
      </c>
      <c r="N356" t="s">
        <v>14</v>
      </c>
    </row>
    <row r="357" spans="4:14" x14ac:dyDescent="0.25">
      <c r="D357">
        <v>1356</v>
      </c>
      <c r="E357" s="4">
        <v>45751</v>
      </c>
      <c r="F357" t="s">
        <v>20</v>
      </c>
      <c r="G357" t="s">
        <v>11</v>
      </c>
      <c r="H357" t="s">
        <v>33</v>
      </c>
      <c r="I357" t="s">
        <v>22</v>
      </c>
      <c r="J357">
        <v>9</v>
      </c>
      <c r="K357" s="1">
        <v>15000</v>
      </c>
      <c r="L357" s="1">
        <f>Table1[[#This Row],[Unit Price]]*Table1[[#This Row],[Units]]</f>
        <v>135000</v>
      </c>
      <c r="M357" s="1">
        <v>41210</v>
      </c>
      <c r="N357" t="s">
        <v>26</v>
      </c>
    </row>
    <row r="358" spans="4:14" x14ac:dyDescent="0.25">
      <c r="D358">
        <v>1357</v>
      </c>
      <c r="E358" s="4">
        <v>45720</v>
      </c>
      <c r="F358" t="s">
        <v>23</v>
      </c>
      <c r="G358" t="s">
        <v>11</v>
      </c>
      <c r="H358" t="s">
        <v>25</v>
      </c>
      <c r="I358" t="s">
        <v>34</v>
      </c>
      <c r="J358">
        <v>4</v>
      </c>
      <c r="K358" s="1">
        <v>30000</v>
      </c>
      <c r="L358" s="1">
        <f>Table1[[#This Row],[Unit Price]]*Table1[[#This Row],[Units]]</f>
        <v>120000</v>
      </c>
      <c r="M358" s="1">
        <v>32772</v>
      </c>
      <c r="N358" t="s">
        <v>26</v>
      </c>
    </row>
    <row r="359" spans="4:14" x14ac:dyDescent="0.25">
      <c r="D359">
        <v>1358</v>
      </c>
      <c r="E359" s="4">
        <v>45681</v>
      </c>
      <c r="F359" t="s">
        <v>10</v>
      </c>
      <c r="G359" t="s">
        <v>11</v>
      </c>
      <c r="H359" t="s">
        <v>17</v>
      </c>
      <c r="I359" t="s">
        <v>28</v>
      </c>
      <c r="J359">
        <v>1</v>
      </c>
      <c r="K359" s="1">
        <v>2000</v>
      </c>
      <c r="L359" s="1">
        <f>Table1[[#This Row],[Unit Price]]*Table1[[#This Row],[Units]]</f>
        <v>2000</v>
      </c>
      <c r="M359" s="1">
        <v>312</v>
      </c>
      <c r="N359" t="s">
        <v>14</v>
      </c>
    </row>
    <row r="360" spans="4:14" x14ac:dyDescent="0.25">
      <c r="D360">
        <v>1359</v>
      </c>
      <c r="E360" s="4">
        <v>45664</v>
      </c>
      <c r="F360" t="s">
        <v>10</v>
      </c>
      <c r="G360" t="s">
        <v>24</v>
      </c>
      <c r="H360" t="s">
        <v>17</v>
      </c>
      <c r="I360" t="s">
        <v>22</v>
      </c>
      <c r="J360">
        <v>4</v>
      </c>
      <c r="K360" s="1">
        <v>15000</v>
      </c>
      <c r="L360" s="1">
        <f>Table1[[#This Row],[Unit Price]]*Table1[[#This Row],[Units]]</f>
        <v>60000</v>
      </c>
      <c r="M360" s="1">
        <v>10620</v>
      </c>
      <c r="N360" t="s">
        <v>26</v>
      </c>
    </row>
    <row r="361" spans="4:14" x14ac:dyDescent="0.25">
      <c r="D361">
        <v>1360</v>
      </c>
      <c r="E361" s="4">
        <v>45703</v>
      </c>
      <c r="F361" t="s">
        <v>32</v>
      </c>
      <c r="G361" t="s">
        <v>11</v>
      </c>
      <c r="H361" t="s">
        <v>35</v>
      </c>
      <c r="I361" t="s">
        <v>34</v>
      </c>
      <c r="J361">
        <v>10</v>
      </c>
      <c r="K361" s="1">
        <v>30000</v>
      </c>
      <c r="L361" s="1">
        <f>Table1[[#This Row],[Unit Price]]*Table1[[#This Row],[Units]]</f>
        <v>300000</v>
      </c>
      <c r="M361" s="1">
        <v>79263</v>
      </c>
      <c r="N361" t="s">
        <v>19</v>
      </c>
    </row>
    <row r="362" spans="4:14" x14ac:dyDescent="0.25">
      <c r="D362">
        <v>1361</v>
      </c>
      <c r="E362" s="4">
        <v>45717</v>
      </c>
      <c r="F362" t="s">
        <v>23</v>
      </c>
      <c r="G362" t="s">
        <v>16</v>
      </c>
      <c r="H362" t="s">
        <v>31</v>
      </c>
      <c r="I362" t="s">
        <v>18</v>
      </c>
      <c r="J362">
        <v>1</v>
      </c>
      <c r="K362" s="1">
        <v>60000</v>
      </c>
      <c r="L362" s="1">
        <f>Table1[[#This Row],[Unit Price]]*Table1[[#This Row],[Units]]</f>
        <v>60000</v>
      </c>
      <c r="M362" s="1">
        <v>16237</v>
      </c>
      <c r="N362" t="s">
        <v>26</v>
      </c>
    </row>
    <row r="363" spans="4:14" x14ac:dyDescent="0.25">
      <c r="D363">
        <v>1362</v>
      </c>
      <c r="E363" s="4">
        <v>45662</v>
      </c>
      <c r="F363" t="s">
        <v>10</v>
      </c>
      <c r="G363" t="s">
        <v>24</v>
      </c>
      <c r="H363" t="s">
        <v>30</v>
      </c>
      <c r="I363" t="s">
        <v>18</v>
      </c>
      <c r="J363">
        <v>2</v>
      </c>
      <c r="K363" s="1">
        <v>60000</v>
      </c>
      <c r="L363" s="1">
        <f>Table1[[#This Row],[Unit Price]]*Table1[[#This Row],[Units]]</f>
        <v>120000</v>
      </c>
      <c r="M363" s="1">
        <v>36872</v>
      </c>
      <c r="N363" t="s">
        <v>26</v>
      </c>
    </row>
    <row r="364" spans="4:14" x14ac:dyDescent="0.25">
      <c r="D364">
        <v>1363</v>
      </c>
      <c r="E364" s="4">
        <v>45776</v>
      </c>
      <c r="F364" t="s">
        <v>20</v>
      </c>
      <c r="G364" t="s">
        <v>11</v>
      </c>
      <c r="H364" t="s">
        <v>35</v>
      </c>
      <c r="I364" t="s">
        <v>22</v>
      </c>
      <c r="J364">
        <v>2</v>
      </c>
      <c r="K364" s="1">
        <v>15000</v>
      </c>
      <c r="L364" s="1">
        <f>Table1[[#This Row],[Unit Price]]*Table1[[#This Row],[Units]]</f>
        <v>30000</v>
      </c>
      <c r="M364" s="1">
        <v>10093</v>
      </c>
      <c r="N364" t="s">
        <v>14</v>
      </c>
    </row>
    <row r="365" spans="4:14" x14ac:dyDescent="0.25">
      <c r="D365">
        <v>1364</v>
      </c>
      <c r="E365" s="4">
        <v>45695</v>
      </c>
      <c r="F365" t="s">
        <v>32</v>
      </c>
      <c r="G365" t="s">
        <v>24</v>
      </c>
      <c r="H365" t="s">
        <v>35</v>
      </c>
      <c r="I365" t="s">
        <v>22</v>
      </c>
      <c r="J365">
        <v>7</v>
      </c>
      <c r="K365" s="1">
        <v>15000</v>
      </c>
      <c r="L365" s="1">
        <f>Table1[[#This Row],[Unit Price]]*Table1[[#This Row],[Units]]</f>
        <v>105000</v>
      </c>
      <c r="M365" s="1">
        <v>33984</v>
      </c>
      <c r="N365" t="s">
        <v>26</v>
      </c>
    </row>
    <row r="366" spans="4:14" x14ac:dyDescent="0.25">
      <c r="D366">
        <v>1365</v>
      </c>
      <c r="E366" s="4">
        <v>45832</v>
      </c>
      <c r="F366" t="s">
        <v>27</v>
      </c>
      <c r="G366" t="s">
        <v>11</v>
      </c>
      <c r="H366" t="s">
        <v>17</v>
      </c>
      <c r="I366" t="s">
        <v>18</v>
      </c>
      <c r="J366">
        <v>4</v>
      </c>
      <c r="K366" s="1">
        <v>60000</v>
      </c>
      <c r="L366" s="1">
        <f>Table1[[#This Row],[Unit Price]]*Table1[[#This Row],[Units]]</f>
        <v>240000</v>
      </c>
      <c r="M366" s="1">
        <v>45196</v>
      </c>
      <c r="N366" t="s">
        <v>19</v>
      </c>
    </row>
    <row r="367" spans="4:14" x14ac:dyDescent="0.25">
      <c r="D367">
        <v>1366</v>
      </c>
      <c r="E367" s="4">
        <v>45658</v>
      </c>
      <c r="F367" t="s">
        <v>10</v>
      </c>
      <c r="G367" t="s">
        <v>24</v>
      </c>
      <c r="H367" t="s">
        <v>33</v>
      </c>
      <c r="I367" t="s">
        <v>22</v>
      </c>
      <c r="J367">
        <v>2</v>
      </c>
      <c r="K367" s="1">
        <v>15000</v>
      </c>
      <c r="L367" s="1">
        <f>Table1[[#This Row],[Unit Price]]*Table1[[#This Row],[Units]]</f>
        <v>30000</v>
      </c>
      <c r="M367" s="1">
        <v>9413</v>
      </c>
      <c r="N367" t="s">
        <v>14</v>
      </c>
    </row>
    <row r="368" spans="4:14" x14ac:dyDescent="0.25">
      <c r="D368">
        <v>1367</v>
      </c>
      <c r="E368" s="4">
        <v>45787</v>
      </c>
      <c r="F368" t="s">
        <v>15</v>
      </c>
      <c r="G368" t="s">
        <v>16</v>
      </c>
      <c r="H368" t="s">
        <v>21</v>
      </c>
      <c r="I368" t="s">
        <v>34</v>
      </c>
      <c r="J368">
        <v>5</v>
      </c>
      <c r="K368" s="1">
        <v>30000</v>
      </c>
      <c r="L368" s="1">
        <f>Table1[[#This Row],[Unit Price]]*Table1[[#This Row],[Units]]</f>
        <v>150000</v>
      </c>
      <c r="M368" s="1">
        <v>32142</v>
      </c>
      <c r="N368" t="s">
        <v>26</v>
      </c>
    </row>
    <row r="369" spans="4:14" x14ac:dyDescent="0.25">
      <c r="D369">
        <v>1368</v>
      </c>
      <c r="E369" s="4">
        <v>45830</v>
      </c>
      <c r="F369" t="s">
        <v>27</v>
      </c>
      <c r="G369" t="s">
        <v>24</v>
      </c>
      <c r="H369" t="s">
        <v>17</v>
      </c>
      <c r="I369" t="s">
        <v>18</v>
      </c>
      <c r="J369">
        <v>5</v>
      </c>
      <c r="K369" s="1">
        <v>60000</v>
      </c>
      <c r="L369" s="1">
        <f>Table1[[#This Row],[Unit Price]]*Table1[[#This Row],[Units]]</f>
        <v>300000</v>
      </c>
      <c r="M369" s="1">
        <v>56609</v>
      </c>
      <c r="N369" t="s">
        <v>19</v>
      </c>
    </row>
    <row r="370" spans="4:14" x14ac:dyDescent="0.25">
      <c r="D370">
        <v>1369</v>
      </c>
      <c r="E370" s="4">
        <v>45761</v>
      </c>
      <c r="F370" t="s">
        <v>20</v>
      </c>
      <c r="G370" t="s">
        <v>29</v>
      </c>
      <c r="H370" t="s">
        <v>33</v>
      </c>
      <c r="I370" t="s">
        <v>28</v>
      </c>
      <c r="J370">
        <v>5</v>
      </c>
      <c r="K370" s="1">
        <v>2000</v>
      </c>
      <c r="L370" s="1">
        <f>Table1[[#This Row],[Unit Price]]*Table1[[#This Row],[Units]]</f>
        <v>10000</v>
      </c>
      <c r="M370" s="1">
        <v>1939</v>
      </c>
      <c r="N370" t="s">
        <v>14</v>
      </c>
    </row>
    <row r="371" spans="4:14" x14ac:dyDescent="0.25">
      <c r="D371">
        <v>1370</v>
      </c>
      <c r="E371" s="4">
        <v>45766</v>
      </c>
      <c r="F371" t="s">
        <v>20</v>
      </c>
      <c r="G371" t="s">
        <v>29</v>
      </c>
      <c r="H371" t="s">
        <v>35</v>
      </c>
      <c r="I371" t="s">
        <v>22</v>
      </c>
      <c r="J371">
        <v>6</v>
      </c>
      <c r="K371" s="1">
        <v>15000</v>
      </c>
      <c r="L371" s="1">
        <f>Table1[[#This Row],[Unit Price]]*Table1[[#This Row],[Units]]</f>
        <v>90000</v>
      </c>
      <c r="M371" s="1">
        <v>23642</v>
      </c>
      <c r="N371" t="s">
        <v>26</v>
      </c>
    </row>
    <row r="372" spans="4:14" x14ac:dyDescent="0.25">
      <c r="D372">
        <v>1371</v>
      </c>
      <c r="E372" s="4">
        <v>45735</v>
      </c>
      <c r="F372" t="s">
        <v>23</v>
      </c>
      <c r="G372" t="s">
        <v>16</v>
      </c>
      <c r="H372" t="s">
        <v>21</v>
      </c>
      <c r="I372" t="s">
        <v>28</v>
      </c>
      <c r="J372">
        <v>3</v>
      </c>
      <c r="K372" s="1">
        <v>2000</v>
      </c>
      <c r="L372" s="1">
        <f>Table1[[#This Row],[Unit Price]]*Table1[[#This Row],[Units]]</f>
        <v>6000</v>
      </c>
      <c r="M372" s="1">
        <v>1714</v>
      </c>
      <c r="N372" t="s">
        <v>14</v>
      </c>
    </row>
    <row r="373" spans="4:14" x14ac:dyDescent="0.25">
      <c r="D373">
        <v>1372</v>
      </c>
      <c r="E373" s="4">
        <v>45710</v>
      </c>
      <c r="F373" t="s">
        <v>32</v>
      </c>
      <c r="G373" t="s">
        <v>11</v>
      </c>
      <c r="H373" t="s">
        <v>25</v>
      </c>
      <c r="I373" t="s">
        <v>18</v>
      </c>
      <c r="J373">
        <v>9</v>
      </c>
      <c r="K373" s="1">
        <v>60000</v>
      </c>
      <c r="L373" s="1">
        <f>Table1[[#This Row],[Unit Price]]*Table1[[#This Row],[Units]]</f>
        <v>540000</v>
      </c>
      <c r="M373" s="1">
        <v>140636</v>
      </c>
      <c r="N373" t="s">
        <v>19</v>
      </c>
    </row>
    <row r="374" spans="4:14" x14ac:dyDescent="0.25">
      <c r="D374">
        <v>1373</v>
      </c>
      <c r="E374" s="4">
        <v>45738</v>
      </c>
      <c r="F374" t="s">
        <v>23</v>
      </c>
      <c r="G374" t="s">
        <v>11</v>
      </c>
      <c r="H374" t="s">
        <v>25</v>
      </c>
      <c r="I374" t="s">
        <v>28</v>
      </c>
      <c r="J374">
        <v>4</v>
      </c>
      <c r="K374" s="1">
        <v>2000</v>
      </c>
      <c r="L374" s="1">
        <f>Table1[[#This Row],[Unit Price]]*Table1[[#This Row],[Units]]</f>
        <v>8000</v>
      </c>
      <c r="M374" s="1">
        <v>1898</v>
      </c>
      <c r="N374" t="s">
        <v>14</v>
      </c>
    </row>
    <row r="375" spans="4:14" x14ac:dyDescent="0.25">
      <c r="D375">
        <v>1374</v>
      </c>
      <c r="E375" s="4">
        <v>45765</v>
      </c>
      <c r="F375" t="s">
        <v>20</v>
      </c>
      <c r="G375" t="s">
        <v>11</v>
      </c>
      <c r="H375" t="s">
        <v>33</v>
      </c>
      <c r="I375" t="s">
        <v>28</v>
      </c>
      <c r="J375">
        <v>7</v>
      </c>
      <c r="K375" s="1">
        <v>2000</v>
      </c>
      <c r="L375" s="1">
        <f>Table1[[#This Row],[Unit Price]]*Table1[[#This Row],[Units]]</f>
        <v>14000</v>
      </c>
      <c r="M375" s="1">
        <v>4530</v>
      </c>
      <c r="N375" t="s">
        <v>14</v>
      </c>
    </row>
    <row r="376" spans="4:14" x14ac:dyDescent="0.25">
      <c r="D376">
        <v>1375</v>
      </c>
      <c r="E376" s="4">
        <v>45805</v>
      </c>
      <c r="F376" t="s">
        <v>15</v>
      </c>
      <c r="G376" t="s">
        <v>29</v>
      </c>
      <c r="H376" t="s">
        <v>33</v>
      </c>
      <c r="I376" t="s">
        <v>22</v>
      </c>
      <c r="J376">
        <v>1</v>
      </c>
      <c r="K376" s="1">
        <v>15000</v>
      </c>
      <c r="L376" s="1">
        <f>Table1[[#This Row],[Unit Price]]*Table1[[#This Row],[Units]]</f>
        <v>15000</v>
      </c>
      <c r="M376" s="1">
        <v>5045</v>
      </c>
      <c r="N376" t="s">
        <v>14</v>
      </c>
    </row>
    <row r="377" spans="4:14" x14ac:dyDescent="0.25">
      <c r="D377">
        <v>1376</v>
      </c>
      <c r="E377" s="4">
        <v>45797</v>
      </c>
      <c r="F377" t="s">
        <v>15</v>
      </c>
      <c r="G377" t="s">
        <v>16</v>
      </c>
      <c r="H377" t="s">
        <v>35</v>
      </c>
      <c r="I377" t="s">
        <v>18</v>
      </c>
      <c r="J377">
        <v>10</v>
      </c>
      <c r="K377" s="1">
        <v>60000</v>
      </c>
      <c r="L377" s="1">
        <f>Table1[[#This Row],[Unit Price]]*Table1[[#This Row],[Units]]</f>
        <v>600000</v>
      </c>
      <c r="M377" s="1">
        <v>112064</v>
      </c>
      <c r="N377" t="s">
        <v>19</v>
      </c>
    </row>
    <row r="378" spans="4:14" x14ac:dyDescent="0.25">
      <c r="D378">
        <v>1377</v>
      </c>
      <c r="E378" s="4">
        <v>45773</v>
      </c>
      <c r="F378" t="s">
        <v>20</v>
      </c>
      <c r="G378" t="s">
        <v>29</v>
      </c>
      <c r="H378" t="s">
        <v>12</v>
      </c>
      <c r="I378" t="s">
        <v>13</v>
      </c>
      <c r="J378">
        <v>7</v>
      </c>
      <c r="K378" s="1">
        <v>800</v>
      </c>
      <c r="L378" s="1">
        <f>Table1[[#This Row],[Unit Price]]*Table1[[#This Row],[Units]]</f>
        <v>5600</v>
      </c>
      <c r="M378" s="1">
        <v>988</v>
      </c>
      <c r="N378" t="s">
        <v>14</v>
      </c>
    </row>
    <row r="379" spans="4:14" x14ac:dyDescent="0.25">
      <c r="D379">
        <v>1378</v>
      </c>
      <c r="E379" s="4">
        <v>45722</v>
      </c>
      <c r="F379" t="s">
        <v>23</v>
      </c>
      <c r="G379" t="s">
        <v>29</v>
      </c>
      <c r="H379" t="s">
        <v>12</v>
      </c>
      <c r="I379" t="s">
        <v>22</v>
      </c>
      <c r="J379">
        <v>10</v>
      </c>
      <c r="K379" s="1">
        <v>15000</v>
      </c>
      <c r="L379" s="1">
        <f>Table1[[#This Row],[Unit Price]]*Table1[[#This Row],[Units]]</f>
        <v>150000</v>
      </c>
      <c r="M379" s="1">
        <v>27013</v>
      </c>
      <c r="N379" t="s">
        <v>26</v>
      </c>
    </row>
    <row r="380" spans="4:14" x14ac:dyDescent="0.25">
      <c r="D380">
        <v>1379</v>
      </c>
      <c r="E380" s="4">
        <v>45701</v>
      </c>
      <c r="F380" t="s">
        <v>32</v>
      </c>
      <c r="G380" t="s">
        <v>29</v>
      </c>
      <c r="H380" t="s">
        <v>33</v>
      </c>
      <c r="I380" t="s">
        <v>13</v>
      </c>
      <c r="J380">
        <v>10</v>
      </c>
      <c r="K380" s="1">
        <v>800</v>
      </c>
      <c r="L380" s="1">
        <f>Table1[[#This Row],[Unit Price]]*Table1[[#This Row],[Units]]</f>
        <v>8000</v>
      </c>
      <c r="M380" s="1">
        <v>2339</v>
      </c>
      <c r="N380" t="s">
        <v>14</v>
      </c>
    </row>
    <row r="381" spans="4:14" x14ac:dyDescent="0.25">
      <c r="D381">
        <v>1380</v>
      </c>
      <c r="E381" s="4">
        <v>45732</v>
      </c>
      <c r="F381" t="s">
        <v>23</v>
      </c>
      <c r="G381" t="s">
        <v>16</v>
      </c>
      <c r="H381" t="s">
        <v>33</v>
      </c>
      <c r="I381" t="s">
        <v>13</v>
      </c>
      <c r="J381">
        <v>4</v>
      </c>
      <c r="K381" s="1">
        <v>800</v>
      </c>
      <c r="L381" s="1">
        <f>Table1[[#This Row],[Unit Price]]*Table1[[#This Row],[Units]]</f>
        <v>3200</v>
      </c>
      <c r="M381" s="1">
        <v>765</v>
      </c>
      <c r="N381" t="s">
        <v>14</v>
      </c>
    </row>
    <row r="382" spans="4:14" x14ac:dyDescent="0.25">
      <c r="D382">
        <v>1381</v>
      </c>
      <c r="E382" s="4">
        <v>45768</v>
      </c>
      <c r="F382" t="s">
        <v>20</v>
      </c>
      <c r="G382" t="s">
        <v>29</v>
      </c>
      <c r="H382" t="s">
        <v>17</v>
      </c>
      <c r="I382" t="s">
        <v>28</v>
      </c>
      <c r="J382">
        <v>6</v>
      </c>
      <c r="K382" s="1">
        <v>2000</v>
      </c>
      <c r="L382" s="1">
        <f>Table1[[#This Row],[Unit Price]]*Table1[[#This Row],[Units]]</f>
        <v>12000</v>
      </c>
      <c r="M382" s="1">
        <v>4182</v>
      </c>
      <c r="N382" t="s">
        <v>14</v>
      </c>
    </row>
    <row r="383" spans="4:14" x14ac:dyDescent="0.25">
      <c r="D383">
        <v>1382</v>
      </c>
      <c r="E383" s="4">
        <v>45733</v>
      </c>
      <c r="F383" t="s">
        <v>23</v>
      </c>
      <c r="G383" t="s">
        <v>29</v>
      </c>
      <c r="H383" t="s">
        <v>21</v>
      </c>
      <c r="I383" t="s">
        <v>34</v>
      </c>
      <c r="J383">
        <v>3</v>
      </c>
      <c r="K383" s="1">
        <v>30000</v>
      </c>
      <c r="L383" s="1">
        <f>Table1[[#This Row],[Unit Price]]*Table1[[#This Row],[Units]]</f>
        <v>90000</v>
      </c>
      <c r="M383" s="1">
        <v>15301</v>
      </c>
      <c r="N383" t="s">
        <v>26</v>
      </c>
    </row>
    <row r="384" spans="4:14" x14ac:dyDescent="0.25">
      <c r="D384">
        <v>1383</v>
      </c>
      <c r="E384" s="4">
        <v>45807</v>
      </c>
      <c r="F384" t="s">
        <v>15</v>
      </c>
      <c r="G384" t="s">
        <v>29</v>
      </c>
      <c r="H384" t="s">
        <v>33</v>
      </c>
      <c r="I384" t="s">
        <v>13</v>
      </c>
      <c r="J384">
        <v>6</v>
      </c>
      <c r="K384" s="1">
        <v>800</v>
      </c>
      <c r="L384" s="1">
        <f>Table1[[#This Row],[Unit Price]]*Table1[[#This Row],[Units]]</f>
        <v>4800</v>
      </c>
      <c r="M384" s="1">
        <v>977</v>
      </c>
      <c r="N384" t="s">
        <v>14</v>
      </c>
    </row>
    <row r="385" spans="4:14" x14ac:dyDescent="0.25">
      <c r="D385">
        <v>1384</v>
      </c>
      <c r="E385" s="4">
        <v>45771</v>
      </c>
      <c r="F385" t="s">
        <v>20</v>
      </c>
      <c r="G385" t="s">
        <v>16</v>
      </c>
      <c r="H385" t="s">
        <v>25</v>
      </c>
      <c r="I385" t="s">
        <v>13</v>
      </c>
      <c r="J385">
        <v>4</v>
      </c>
      <c r="K385" s="1">
        <v>800</v>
      </c>
      <c r="L385" s="1">
        <f>Table1[[#This Row],[Unit Price]]*Table1[[#This Row],[Units]]</f>
        <v>3200</v>
      </c>
      <c r="M385" s="1">
        <v>542</v>
      </c>
      <c r="N385" t="s">
        <v>14</v>
      </c>
    </row>
    <row r="386" spans="4:14" x14ac:dyDescent="0.25">
      <c r="D386">
        <v>1385</v>
      </c>
      <c r="E386" s="4">
        <v>45783</v>
      </c>
      <c r="F386" t="s">
        <v>15</v>
      </c>
      <c r="G386" t="s">
        <v>11</v>
      </c>
      <c r="H386" t="s">
        <v>35</v>
      </c>
      <c r="I386" t="s">
        <v>18</v>
      </c>
      <c r="J386">
        <v>10</v>
      </c>
      <c r="K386" s="1">
        <v>60000</v>
      </c>
      <c r="L386" s="1">
        <f>Table1[[#This Row],[Unit Price]]*Table1[[#This Row],[Units]]</f>
        <v>600000</v>
      </c>
      <c r="M386" s="1">
        <v>157806</v>
      </c>
      <c r="N386" t="s">
        <v>19</v>
      </c>
    </row>
    <row r="387" spans="4:14" x14ac:dyDescent="0.25">
      <c r="D387">
        <v>1386</v>
      </c>
      <c r="E387" s="4">
        <v>45784</v>
      </c>
      <c r="F387" t="s">
        <v>15</v>
      </c>
      <c r="G387" t="s">
        <v>24</v>
      </c>
      <c r="H387" t="s">
        <v>30</v>
      </c>
      <c r="I387" t="s">
        <v>13</v>
      </c>
      <c r="J387">
        <v>9</v>
      </c>
      <c r="K387" s="1">
        <v>800</v>
      </c>
      <c r="L387" s="1">
        <f>Table1[[#This Row],[Unit Price]]*Table1[[#This Row],[Units]]</f>
        <v>7200</v>
      </c>
      <c r="M387" s="1">
        <v>1661</v>
      </c>
      <c r="N387" t="s">
        <v>14</v>
      </c>
    </row>
    <row r="388" spans="4:14" x14ac:dyDescent="0.25">
      <c r="D388">
        <v>1387</v>
      </c>
      <c r="E388" s="4">
        <v>45668</v>
      </c>
      <c r="F388" t="s">
        <v>10</v>
      </c>
      <c r="G388" t="s">
        <v>29</v>
      </c>
      <c r="H388" t="s">
        <v>30</v>
      </c>
      <c r="I388" t="s">
        <v>18</v>
      </c>
      <c r="J388">
        <v>1</v>
      </c>
      <c r="K388" s="1">
        <v>60000</v>
      </c>
      <c r="L388" s="1">
        <f>Table1[[#This Row],[Unit Price]]*Table1[[#This Row],[Units]]</f>
        <v>60000</v>
      </c>
      <c r="M388" s="1">
        <v>16490</v>
      </c>
      <c r="N388" t="s">
        <v>26</v>
      </c>
    </row>
    <row r="389" spans="4:14" x14ac:dyDescent="0.25">
      <c r="D389">
        <v>1388</v>
      </c>
      <c r="E389" s="4">
        <v>45731</v>
      </c>
      <c r="F389" t="s">
        <v>23</v>
      </c>
      <c r="G389" t="s">
        <v>11</v>
      </c>
      <c r="H389" t="s">
        <v>17</v>
      </c>
      <c r="I389" t="s">
        <v>18</v>
      </c>
      <c r="J389">
        <v>1</v>
      </c>
      <c r="K389" s="1">
        <v>60000</v>
      </c>
      <c r="L389" s="1">
        <f>Table1[[#This Row],[Unit Price]]*Table1[[#This Row],[Units]]</f>
        <v>60000</v>
      </c>
      <c r="M389" s="1">
        <v>18352</v>
      </c>
      <c r="N389" t="s">
        <v>26</v>
      </c>
    </row>
    <row r="390" spans="4:14" x14ac:dyDescent="0.25">
      <c r="D390">
        <v>1389</v>
      </c>
      <c r="E390" s="4">
        <v>45682</v>
      </c>
      <c r="F390" t="s">
        <v>10</v>
      </c>
      <c r="G390" t="s">
        <v>11</v>
      </c>
      <c r="H390" t="s">
        <v>25</v>
      </c>
      <c r="I390" t="s">
        <v>22</v>
      </c>
      <c r="J390">
        <v>3</v>
      </c>
      <c r="K390" s="1">
        <v>15000</v>
      </c>
      <c r="L390" s="1">
        <f>Table1[[#This Row],[Unit Price]]*Table1[[#This Row],[Units]]</f>
        <v>45000</v>
      </c>
      <c r="M390" s="1">
        <v>9061</v>
      </c>
      <c r="N390" t="s">
        <v>14</v>
      </c>
    </row>
    <row r="391" spans="4:14" x14ac:dyDescent="0.25">
      <c r="D391">
        <v>1390</v>
      </c>
      <c r="E391" s="4">
        <v>45772</v>
      </c>
      <c r="F391" t="s">
        <v>20</v>
      </c>
      <c r="G391" t="s">
        <v>29</v>
      </c>
      <c r="H391" t="s">
        <v>12</v>
      </c>
      <c r="I391" t="s">
        <v>18</v>
      </c>
      <c r="J391">
        <v>3</v>
      </c>
      <c r="K391" s="1">
        <v>60000</v>
      </c>
      <c r="L391" s="1">
        <f>Table1[[#This Row],[Unit Price]]*Table1[[#This Row],[Units]]</f>
        <v>180000</v>
      </c>
      <c r="M391" s="1">
        <v>33012</v>
      </c>
      <c r="N391" t="s">
        <v>26</v>
      </c>
    </row>
    <row r="392" spans="4:14" x14ac:dyDescent="0.25">
      <c r="D392">
        <v>1391</v>
      </c>
      <c r="E392" s="4">
        <v>45686</v>
      </c>
      <c r="F392" t="s">
        <v>10</v>
      </c>
      <c r="G392" t="s">
        <v>11</v>
      </c>
      <c r="H392" t="s">
        <v>25</v>
      </c>
      <c r="I392" t="s">
        <v>18</v>
      </c>
      <c r="J392">
        <v>2</v>
      </c>
      <c r="K392" s="1">
        <v>60000</v>
      </c>
      <c r="L392" s="1">
        <f>Table1[[#This Row],[Unit Price]]*Table1[[#This Row],[Units]]</f>
        <v>120000</v>
      </c>
      <c r="M392" s="1">
        <v>35835</v>
      </c>
      <c r="N392" t="s">
        <v>26</v>
      </c>
    </row>
    <row r="393" spans="4:14" x14ac:dyDescent="0.25">
      <c r="D393">
        <v>1392</v>
      </c>
      <c r="E393" s="4">
        <v>45835</v>
      </c>
      <c r="F393" t="s">
        <v>27</v>
      </c>
      <c r="G393" t="s">
        <v>16</v>
      </c>
      <c r="H393" t="s">
        <v>25</v>
      </c>
      <c r="I393" t="s">
        <v>28</v>
      </c>
      <c r="J393">
        <v>5</v>
      </c>
      <c r="K393" s="1">
        <v>2000</v>
      </c>
      <c r="L393" s="1">
        <f>Table1[[#This Row],[Unit Price]]*Table1[[#This Row],[Units]]</f>
        <v>10000</v>
      </c>
      <c r="M393" s="1">
        <v>3059</v>
      </c>
      <c r="N393" t="s">
        <v>14</v>
      </c>
    </row>
    <row r="394" spans="4:14" x14ac:dyDescent="0.25">
      <c r="D394">
        <v>1393</v>
      </c>
      <c r="E394" s="4">
        <v>45808</v>
      </c>
      <c r="F394" t="s">
        <v>15</v>
      </c>
      <c r="G394" t="s">
        <v>29</v>
      </c>
      <c r="H394" t="s">
        <v>31</v>
      </c>
      <c r="I394" t="s">
        <v>22</v>
      </c>
      <c r="J394">
        <v>1</v>
      </c>
      <c r="K394" s="1">
        <v>15000</v>
      </c>
      <c r="L394" s="1">
        <f>Table1[[#This Row],[Unit Price]]*Table1[[#This Row],[Units]]</f>
        <v>15000</v>
      </c>
      <c r="M394" s="1">
        <v>5099</v>
      </c>
      <c r="N394" t="s">
        <v>14</v>
      </c>
    </row>
    <row r="395" spans="4:14" x14ac:dyDescent="0.25">
      <c r="D395">
        <v>1394</v>
      </c>
      <c r="E395" s="4">
        <v>45831</v>
      </c>
      <c r="F395" t="s">
        <v>27</v>
      </c>
      <c r="G395" t="s">
        <v>29</v>
      </c>
      <c r="H395" t="s">
        <v>31</v>
      </c>
      <c r="I395" t="s">
        <v>13</v>
      </c>
      <c r="J395">
        <v>9</v>
      </c>
      <c r="K395" s="1">
        <v>800</v>
      </c>
      <c r="L395" s="1">
        <f>Table1[[#This Row],[Unit Price]]*Table1[[#This Row],[Units]]</f>
        <v>7200</v>
      </c>
      <c r="M395" s="1">
        <v>2256</v>
      </c>
      <c r="N395" t="s">
        <v>14</v>
      </c>
    </row>
    <row r="396" spans="4:14" x14ac:dyDescent="0.25">
      <c r="D396">
        <v>1395</v>
      </c>
      <c r="E396" s="4">
        <v>45668</v>
      </c>
      <c r="F396" t="s">
        <v>10</v>
      </c>
      <c r="G396" t="s">
        <v>24</v>
      </c>
      <c r="H396" t="s">
        <v>31</v>
      </c>
      <c r="I396" t="s">
        <v>13</v>
      </c>
      <c r="J396">
        <v>10</v>
      </c>
      <c r="K396" s="1">
        <v>800</v>
      </c>
      <c r="L396" s="1">
        <f>Table1[[#This Row],[Unit Price]]*Table1[[#This Row],[Units]]</f>
        <v>8000</v>
      </c>
      <c r="M396" s="1">
        <v>1348</v>
      </c>
      <c r="N396" t="s">
        <v>14</v>
      </c>
    </row>
    <row r="397" spans="4:14" x14ac:dyDescent="0.25">
      <c r="D397">
        <v>1396</v>
      </c>
      <c r="E397" s="4">
        <v>45816</v>
      </c>
      <c r="F397" t="s">
        <v>27</v>
      </c>
      <c r="G397" t="s">
        <v>11</v>
      </c>
      <c r="H397" t="s">
        <v>35</v>
      </c>
      <c r="I397" t="s">
        <v>34</v>
      </c>
      <c r="J397">
        <v>6</v>
      </c>
      <c r="K397" s="1">
        <v>30000</v>
      </c>
      <c r="L397" s="1">
        <f>Table1[[#This Row],[Unit Price]]*Table1[[#This Row],[Units]]</f>
        <v>180000</v>
      </c>
      <c r="M397" s="1">
        <v>35908</v>
      </c>
      <c r="N397" t="s">
        <v>26</v>
      </c>
    </row>
    <row r="398" spans="4:14" x14ac:dyDescent="0.25">
      <c r="D398">
        <v>1397</v>
      </c>
      <c r="E398" s="4">
        <v>45697</v>
      </c>
      <c r="F398" t="s">
        <v>32</v>
      </c>
      <c r="G398" t="s">
        <v>16</v>
      </c>
      <c r="H398" t="s">
        <v>21</v>
      </c>
      <c r="I398" t="s">
        <v>28</v>
      </c>
      <c r="J398">
        <v>10</v>
      </c>
      <c r="K398" s="1">
        <v>2000</v>
      </c>
      <c r="L398" s="1">
        <f>Table1[[#This Row],[Unit Price]]*Table1[[#This Row],[Units]]</f>
        <v>20000</v>
      </c>
      <c r="M398" s="1">
        <v>3983</v>
      </c>
      <c r="N398" t="s">
        <v>14</v>
      </c>
    </row>
    <row r="399" spans="4:14" x14ac:dyDescent="0.25">
      <c r="D399">
        <v>1398</v>
      </c>
      <c r="E399" s="4">
        <v>45742</v>
      </c>
      <c r="F399" t="s">
        <v>23</v>
      </c>
      <c r="G399" t="s">
        <v>11</v>
      </c>
      <c r="H399" t="s">
        <v>35</v>
      </c>
      <c r="I399" t="s">
        <v>18</v>
      </c>
      <c r="J399">
        <v>9</v>
      </c>
      <c r="K399" s="1">
        <v>60000</v>
      </c>
      <c r="L399" s="1">
        <f>Table1[[#This Row],[Unit Price]]*Table1[[#This Row],[Units]]</f>
        <v>540000</v>
      </c>
      <c r="M399" s="1">
        <v>101108</v>
      </c>
      <c r="N399" t="s">
        <v>19</v>
      </c>
    </row>
    <row r="400" spans="4:14" x14ac:dyDescent="0.25">
      <c r="D400">
        <v>1399</v>
      </c>
      <c r="E400" s="4">
        <v>45774</v>
      </c>
      <c r="F400" t="s">
        <v>20</v>
      </c>
      <c r="G400" t="s">
        <v>16</v>
      </c>
      <c r="H400" t="s">
        <v>21</v>
      </c>
      <c r="I400" t="s">
        <v>22</v>
      </c>
      <c r="J400">
        <v>6</v>
      </c>
      <c r="K400" s="1">
        <v>15000</v>
      </c>
      <c r="L400" s="1">
        <f>Table1[[#This Row],[Unit Price]]*Table1[[#This Row],[Units]]</f>
        <v>90000</v>
      </c>
      <c r="M400" s="1">
        <v>27135</v>
      </c>
      <c r="N400" t="s">
        <v>26</v>
      </c>
    </row>
    <row r="401" spans="4:14" x14ac:dyDescent="0.25">
      <c r="D401">
        <v>1400</v>
      </c>
      <c r="E401" s="4">
        <v>45738</v>
      </c>
      <c r="F401" t="s">
        <v>23</v>
      </c>
      <c r="G401" t="s">
        <v>29</v>
      </c>
      <c r="H401" t="s">
        <v>17</v>
      </c>
      <c r="I401" t="s">
        <v>13</v>
      </c>
      <c r="J401">
        <v>7</v>
      </c>
      <c r="K401" s="1">
        <v>800</v>
      </c>
      <c r="L401" s="1">
        <f>Table1[[#This Row],[Unit Price]]*Table1[[#This Row],[Units]]</f>
        <v>5600</v>
      </c>
      <c r="M401" s="1">
        <v>1235</v>
      </c>
      <c r="N401" t="s">
        <v>14</v>
      </c>
    </row>
    <row r="402" spans="4:14" x14ac:dyDescent="0.25">
      <c r="D402">
        <v>1401</v>
      </c>
      <c r="E402" s="4">
        <v>45725</v>
      </c>
      <c r="F402" t="s">
        <v>23</v>
      </c>
      <c r="G402" t="s">
        <v>11</v>
      </c>
      <c r="H402" t="s">
        <v>12</v>
      </c>
      <c r="I402" t="s">
        <v>13</v>
      </c>
      <c r="J402">
        <v>9</v>
      </c>
      <c r="K402" s="1">
        <v>800</v>
      </c>
      <c r="L402" s="1">
        <f>Table1[[#This Row],[Unit Price]]*Table1[[#This Row],[Units]]</f>
        <v>7200</v>
      </c>
      <c r="M402" s="1">
        <v>2149</v>
      </c>
      <c r="N402" t="s">
        <v>14</v>
      </c>
    </row>
    <row r="403" spans="4:14" x14ac:dyDescent="0.25">
      <c r="D403">
        <v>1402</v>
      </c>
      <c r="E403" s="4">
        <v>45679</v>
      </c>
      <c r="F403" t="s">
        <v>10</v>
      </c>
      <c r="G403" t="s">
        <v>11</v>
      </c>
      <c r="H403" t="s">
        <v>30</v>
      </c>
      <c r="I403" t="s">
        <v>13</v>
      </c>
      <c r="J403">
        <v>1</v>
      </c>
      <c r="K403" s="1">
        <v>800</v>
      </c>
      <c r="L403" s="1">
        <f>Table1[[#This Row],[Unit Price]]*Table1[[#This Row],[Units]]</f>
        <v>800</v>
      </c>
      <c r="M403" s="1">
        <v>273</v>
      </c>
      <c r="N403" t="s">
        <v>14</v>
      </c>
    </row>
    <row r="404" spans="4:14" x14ac:dyDescent="0.25">
      <c r="D404">
        <v>1403</v>
      </c>
      <c r="E404" s="4">
        <v>45757</v>
      </c>
      <c r="F404" t="s">
        <v>20</v>
      </c>
      <c r="G404" t="s">
        <v>16</v>
      </c>
      <c r="H404" t="s">
        <v>33</v>
      </c>
      <c r="I404" t="s">
        <v>28</v>
      </c>
      <c r="J404">
        <v>3</v>
      </c>
      <c r="K404" s="1">
        <v>2000</v>
      </c>
      <c r="L404" s="1">
        <f>Table1[[#This Row],[Unit Price]]*Table1[[#This Row],[Units]]</f>
        <v>6000</v>
      </c>
      <c r="M404" s="1">
        <v>959</v>
      </c>
      <c r="N404" t="s">
        <v>14</v>
      </c>
    </row>
    <row r="405" spans="4:14" x14ac:dyDescent="0.25">
      <c r="D405">
        <v>1404</v>
      </c>
      <c r="E405" s="4">
        <v>45699</v>
      </c>
      <c r="F405" t="s">
        <v>32</v>
      </c>
      <c r="G405" t="s">
        <v>11</v>
      </c>
      <c r="H405" t="s">
        <v>33</v>
      </c>
      <c r="I405" t="s">
        <v>34</v>
      </c>
      <c r="J405">
        <v>8</v>
      </c>
      <c r="K405" s="1">
        <v>30000</v>
      </c>
      <c r="L405" s="1">
        <f>Table1[[#This Row],[Unit Price]]*Table1[[#This Row],[Units]]</f>
        <v>240000</v>
      </c>
      <c r="M405" s="1">
        <v>55289</v>
      </c>
      <c r="N405" t="s">
        <v>19</v>
      </c>
    </row>
    <row r="406" spans="4:14" x14ac:dyDescent="0.25">
      <c r="D406">
        <v>1405</v>
      </c>
      <c r="E406" s="4">
        <v>45759</v>
      </c>
      <c r="F406" t="s">
        <v>20</v>
      </c>
      <c r="G406" t="s">
        <v>29</v>
      </c>
      <c r="H406" t="s">
        <v>12</v>
      </c>
      <c r="I406" t="s">
        <v>34</v>
      </c>
      <c r="J406">
        <v>9</v>
      </c>
      <c r="K406" s="1">
        <v>30000</v>
      </c>
      <c r="L406" s="1">
        <f>Table1[[#This Row],[Unit Price]]*Table1[[#This Row],[Units]]</f>
        <v>270000</v>
      </c>
      <c r="M406" s="1">
        <v>44322</v>
      </c>
      <c r="N406" t="s">
        <v>19</v>
      </c>
    </row>
    <row r="407" spans="4:14" x14ac:dyDescent="0.25">
      <c r="D407">
        <v>1406</v>
      </c>
      <c r="E407" s="4">
        <v>45802</v>
      </c>
      <c r="F407" t="s">
        <v>15</v>
      </c>
      <c r="G407" t="s">
        <v>11</v>
      </c>
      <c r="H407" t="s">
        <v>33</v>
      </c>
      <c r="I407" t="s">
        <v>13</v>
      </c>
      <c r="J407">
        <v>9</v>
      </c>
      <c r="K407" s="1">
        <v>800</v>
      </c>
      <c r="L407" s="1">
        <f>Table1[[#This Row],[Unit Price]]*Table1[[#This Row],[Units]]</f>
        <v>7200</v>
      </c>
      <c r="M407" s="1">
        <v>1612</v>
      </c>
      <c r="N407" t="s">
        <v>14</v>
      </c>
    </row>
    <row r="408" spans="4:14" x14ac:dyDescent="0.25">
      <c r="D408">
        <v>1407</v>
      </c>
      <c r="E408" s="4">
        <v>45774</v>
      </c>
      <c r="F408" t="s">
        <v>20</v>
      </c>
      <c r="G408" t="s">
        <v>11</v>
      </c>
      <c r="H408" t="s">
        <v>35</v>
      </c>
      <c r="I408" t="s">
        <v>22</v>
      </c>
      <c r="J408">
        <v>7</v>
      </c>
      <c r="K408" s="1">
        <v>15000</v>
      </c>
      <c r="L408" s="1">
        <f>Table1[[#This Row],[Unit Price]]*Table1[[#This Row],[Units]]</f>
        <v>105000</v>
      </c>
      <c r="M408" s="1">
        <v>19733</v>
      </c>
      <c r="N408" t="s">
        <v>26</v>
      </c>
    </row>
    <row r="409" spans="4:14" x14ac:dyDescent="0.25">
      <c r="D409">
        <v>1408</v>
      </c>
      <c r="E409" s="4">
        <v>45786</v>
      </c>
      <c r="F409" t="s">
        <v>15</v>
      </c>
      <c r="G409" t="s">
        <v>11</v>
      </c>
      <c r="H409" t="s">
        <v>33</v>
      </c>
      <c r="I409" t="s">
        <v>34</v>
      </c>
      <c r="J409">
        <v>2</v>
      </c>
      <c r="K409" s="1">
        <v>30000</v>
      </c>
      <c r="L409" s="1">
        <f>Table1[[#This Row],[Unit Price]]*Table1[[#This Row],[Units]]</f>
        <v>60000</v>
      </c>
      <c r="M409" s="1">
        <v>10572</v>
      </c>
      <c r="N409" t="s">
        <v>26</v>
      </c>
    </row>
    <row r="410" spans="4:14" x14ac:dyDescent="0.25">
      <c r="D410">
        <v>1409</v>
      </c>
      <c r="E410" s="4">
        <v>45694</v>
      </c>
      <c r="F410" t="s">
        <v>32</v>
      </c>
      <c r="G410" t="s">
        <v>11</v>
      </c>
      <c r="H410" t="s">
        <v>30</v>
      </c>
      <c r="I410" t="s">
        <v>22</v>
      </c>
      <c r="J410">
        <v>6</v>
      </c>
      <c r="K410" s="1">
        <v>15000</v>
      </c>
      <c r="L410" s="1">
        <f>Table1[[#This Row],[Unit Price]]*Table1[[#This Row],[Units]]</f>
        <v>90000</v>
      </c>
      <c r="M410" s="1">
        <v>17942</v>
      </c>
      <c r="N410" t="s">
        <v>26</v>
      </c>
    </row>
    <row r="411" spans="4:14" x14ac:dyDescent="0.25">
      <c r="D411">
        <v>1410</v>
      </c>
      <c r="E411" s="4">
        <v>45700</v>
      </c>
      <c r="F411" t="s">
        <v>32</v>
      </c>
      <c r="G411" t="s">
        <v>11</v>
      </c>
      <c r="H411" t="s">
        <v>17</v>
      </c>
      <c r="I411" t="s">
        <v>18</v>
      </c>
      <c r="J411">
        <v>1</v>
      </c>
      <c r="K411" s="1">
        <v>60000</v>
      </c>
      <c r="L411" s="1">
        <f>Table1[[#This Row],[Unit Price]]*Table1[[#This Row],[Units]]</f>
        <v>60000</v>
      </c>
      <c r="M411" s="1">
        <v>9363</v>
      </c>
      <c r="N411" t="s">
        <v>26</v>
      </c>
    </row>
    <row r="412" spans="4:14" x14ac:dyDescent="0.25">
      <c r="D412">
        <v>1411</v>
      </c>
      <c r="E412" s="4">
        <v>45708</v>
      </c>
      <c r="F412" t="s">
        <v>32</v>
      </c>
      <c r="G412" t="s">
        <v>16</v>
      </c>
      <c r="H412" t="s">
        <v>17</v>
      </c>
      <c r="I412" t="s">
        <v>28</v>
      </c>
      <c r="J412">
        <v>3</v>
      </c>
      <c r="K412" s="1">
        <v>2000</v>
      </c>
      <c r="L412" s="1">
        <f>Table1[[#This Row],[Unit Price]]*Table1[[#This Row],[Units]]</f>
        <v>6000</v>
      </c>
      <c r="M412" s="1">
        <v>1094</v>
      </c>
      <c r="N412" t="s">
        <v>14</v>
      </c>
    </row>
    <row r="413" spans="4:14" x14ac:dyDescent="0.25">
      <c r="D413">
        <v>1412</v>
      </c>
      <c r="E413" s="4">
        <v>45702</v>
      </c>
      <c r="F413" t="s">
        <v>32</v>
      </c>
      <c r="G413" t="s">
        <v>11</v>
      </c>
      <c r="H413" t="s">
        <v>17</v>
      </c>
      <c r="I413" t="s">
        <v>13</v>
      </c>
      <c r="J413">
        <v>4</v>
      </c>
      <c r="K413" s="1">
        <v>800</v>
      </c>
      <c r="L413" s="1">
        <f>Table1[[#This Row],[Unit Price]]*Table1[[#This Row],[Units]]</f>
        <v>3200</v>
      </c>
      <c r="M413" s="1">
        <v>938</v>
      </c>
      <c r="N413" t="s">
        <v>14</v>
      </c>
    </row>
    <row r="414" spans="4:14" x14ac:dyDescent="0.25">
      <c r="D414">
        <v>1413</v>
      </c>
      <c r="E414" s="4">
        <v>45744</v>
      </c>
      <c r="F414" t="s">
        <v>23</v>
      </c>
      <c r="G414" t="s">
        <v>24</v>
      </c>
      <c r="H414" t="s">
        <v>30</v>
      </c>
      <c r="I414" t="s">
        <v>28</v>
      </c>
      <c r="J414">
        <v>3</v>
      </c>
      <c r="K414" s="1">
        <v>2000</v>
      </c>
      <c r="L414" s="1">
        <f>Table1[[#This Row],[Unit Price]]*Table1[[#This Row],[Units]]</f>
        <v>6000</v>
      </c>
      <c r="M414" s="1">
        <v>968</v>
      </c>
      <c r="N414" t="s">
        <v>14</v>
      </c>
    </row>
    <row r="415" spans="4:14" x14ac:dyDescent="0.25">
      <c r="D415">
        <v>1414</v>
      </c>
      <c r="E415" s="4">
        <v>45808</v>
      </c>
      <c r="F415" t="s">
        <v>15</v>
      </c>
      <c r="G415" t="s">
        <v>16</v>
      </c>
      <c r="H415" t="s">
        <v>17</v>
      </c>
      <c r="I415" t="s">
        <v>18</v>
      </c>
      <c r="J415">
        <v>3</v>
      </c>
      <c r="K415" s="1">
        <v>60000</v>
      </c>
      <c r="L415" s="1">
        <f>Table1[[#This Row],[Unit Price]]*Table1[[#This Row],[Units]]</f>
        <v>180000</v>
      </c>
      <c r="M415" s="1">
        <v>34322</v>
      </c>
      <c r="N415" t="s">
        <v>26</v>
      </c>
    </row>
    <row r="416" spans="4:14" x14ac:dyDescent="0.25">
      <c r="D416">
        <v>1415</v>
      </c>
      <c r="E416" s="4">
        <v>45749</v>
      </c>
      <c r="F416" t="s">
        <v>20</v>
      </c>
      <c r="G416" t="s">
        <v>24</v>
      </c>
      <c r="H416" t="s">
        <v>30</v>
      </c>
      <c r="I416" t="s">
        <v>22</v>
      </c>
      <c r="J416">
        <v>4</v>
      </c>
      <c r="K416" s="1">
        <v>15000</v>
      </c>
      <c r="L416" s="1">
        <f>Table1[[#This Row],[Unit Price]]*Table1[[#This Row],[Units]]</f>
        <v>60000</v>
      </c>
      <c r="M416" s="1">
        <v>10398</v>
      </c>
      <c r="N416" t="s">
        <v>26</v>
      </c>
    </row>
    <row r="417" spans="4:14" x14ac:dyDescent="0.25">
      <c r="D417">
        <v>1416</v>
      </c>
      <c r="E417" s="4">
        <v>45800</v>
      </c>
      <c r="F417" t="s">
        <v>15</v>
      </c>
      <c r="G417" t="s">
        <v>24</v>
      </c>
      <c r="H417" t="s">
        <v>25</v>
      </c>
      <c r="I417" t="s">
        <v>34</v>
      </c>
      <c r="J417">
        <v>1</v>
      </c>
      <c r="K417" s="1">
        <v>30000</v>
      </c>
      <c r="L417" s="1">
        <f>Table1[[#This Row],[Unit Price]]*Table1[[#This Row],[Units]]</f>
        <v>30000</v>
      </c>
      <c r="M417" s="1">
        <v>7191</v>
      </c>
      <c r="N417" t="s">
        <v>14</v>
      </c>
    </row>
    <row r="418" spans="4:14" x14ac:dyDescent="0.25">
      <c r="D418">
        <v>1417</v>
      </c>
      <c r="E418" s="4">
        <v>45802</v>
      </c>
      <c r="F418" t="s">
        <v>15</v>
      </c>
      <c r="G418" t="s">
        <v>16</v>
      </c>
      <c r="H418" t="s">
        <v>21</v>
      </c>
      <c r="I418" t="s">
        <v>18</v>
      </c>
      <c r="J418">
        <v>9</v>
      </c>
      <c r="K418" s="1">
        <v>60000</v>
      </c>
      <c r="L418" s="1">
        <f>Table1[[#This Row],[Unit Price]]*Table1[[#This Row],[Units]]</f>
        <v>540000</v>
      </c>
      <c r="M418" s="1">
        <v>133699</v>
      </c>
      <c r="N418" t="s">
        <v>19</v>
      </c>
    </row>
    <row r="419" spans="4:14" x14ac:dyDescent="0.25">
      <c r="D419">
        <v>1418</v>
      </c>
      <c r="E419" s="4">
        <v>45678</v>
      </c>
      <c r="F419" t="s">
        <v>10</v>
      </c>
      <c r="G419" t="s">
        <v>29</v>
      </c>
      <c r="H419" t="s">
        <v>17</v>
      </c>
      <c r="I419" t="s">
        <v>22</v>
      </c>
      <c r="J419">
        <v>2</v>
      </c>
      <c r="K419" s="1">
        <v>15000</v>
      </c>
      <c r="L419" s="1">
        <f>Table1[[#This Row],[Unit Price]]*Table1[[#This Row],[Units]]</f>
        <v>30000</v>
      </c>
      <c r="M419" s="1">
        <v>7395</v>
      </c>
      <c r="N419" t="s">
        <v>14</v>
      </c>
    </row>
    <row r="420" spans="4:14" x14ac:dyDescent="0.25">
      <c r="D420">
        <v>1419</v>
      </c>
      <c r="E420" s="4">
        <v>45682</v>
      </c>
      <c r="F420" t="s">
        <v>10</v>
      </c>
      <c r="G420" t="s">
        <v>16</v>
      </c>
      <c r="H420" t="s">
        <v>25</v>
      </c>
      <c r="I420" t="s">
        <v>18</v>
      </c>
      <c r="J420">
        <v>3</v>
      </c>
      <c r="K420" s="1">
        <v>60000</v>
      </c>
      <c r="L420" s="1">
        <f>Table1[[#This Row],[Unit Price]]*Table1[[#This Row],[Units]]</f>
        <v>180000</v>
      </c>
      <c r="M420" s="1">
        <v>29799</v>
      </c>
      <c r="N420" t="s">
        <v>26</v>
      </c>
    </row>
    <row r="421" spans="4:14" x14ac:dyDescent="0.25">
      <c r="D421">
        <v>1420</v>
      </c>
      <c r="E421" s="4">
        <v>45660</v>
      </c>
      <c r="F421" t="s">
        <v>10</v>
      </c>
      <c r="G421" t="s">
        <v>29</v>
      </c>
      <c r="H421" t="s">
        <v>35</v>
      </c>
      <c r="I421" t="s">
        <v>18</v>
      </c>
      <c r="J421">
        <v>7</v>
      </c>
      <c r="K421" s="1">
        <v>60000</v>
      </c>
      <c r="L421" s="1">
        <f>Table1[[#This Row],[Unit Price]]*Table1[[#This Row],[Units]]</f>
        <v>420000</v>
      </c>
      <c r="M421" s="1">
        <v>145220</v>
      </c>
      <c r="N421" t="s">
        <v>19</v>
      </c>
    </row>
    <row r="422" spans="4:14" x14ac:dyDescent="0.25">
      <c r="D422">
        <v>1421</v>
      </c>
      <c r="E422" s="4">
        <v>45728</v>
      </c>
      <c r="F422" t="s">
        <v>23</v>
      </c>
      <c r="G422" t="s">
        <v>24</v>
      </c>
      <c r="H422" t="s">
        <v>33</v>
      </c>
      <c r="I422" t="s">
        <v>28</v>
      </c>
      <c r="J422">
        <v>3</v>
      </c>
      <c r="K422" s="1">
        <v>2000</v>
      </c>
      <c r="L422" s="1">
        <f>Table1[[#This Row],[Unit Price]]*Table1[[#This Row],[Units]]</f>
        <v>6000</v>
      </c>
      <c r="M422" s="1">
        <v>1486</v>
      </c>
      <c r="N422" t="s">
        <v>14</v>
      </c>
    </row>
    <row r="423" spans="4:14" x14ac:dyDescent="0.25">
      <c r="D423">
        <v>1422</v>
      </c>
      <c r="E423" s="4">
        <v>45716</v>
      </c>
      <c r="F423" t="s">
        <v>32</v>
      </c>
      <c r="G423" t="s">
        <v>11</v>
      </c>
      <c r="H423" t="s">
        <v>33</v>
      </c>
      <c r="I423" t="s">
        <v>22</v>
      </c>
      <c r="J423">
        <v>3</v>
      </c>
      <c r="K423" s="1">
        <v>15000</v>
      </c>
      <c r="L423" s="1">
        <f>Table1[[#This Row],[Unit Price]]*Table1[[#This Row],[Units]]</f>
        <v>45000</v>
      </c>
      <c r="M423" s="1">
        <v>9201</v>
      </c>
      <c r="N423" t="s">
        <v>14</v>
      </c>
    </row>
    <row r="424" spans="4:14" x14ac:dyDescent="0.25">
      <c r="D424">
        <v>1423</v>
      </c>
      <c r="E424" s="4">
        <v>45716</v>
      </c>
      <c r="F424" t="s">
        <v>32</v>
      </c>
      <c r="G424" t="s">
        <v>16</v>
      </c>
      <c r="H424" t="s">
        <v>33</v>
      </c>
      <c r="I424" t="s">
        <v>34</v>
      </c>
      <c r="J424">
        <v>5</v>
      </c>
      <c r="K424" s="1">
        <v>30000</v>
      </c>
      <c r="L424" s="1">
        <f>Table1[[#This Row],[Unit Price]]*Table1[[#This Row],[Units]]</f>
        <v>150000</v>
      </c>
      <c r="M424" s="1">
        <v>48509</v>
      </c>
      <c r="N424" t="s">
        <v>26</v>
      </c>
    </row>
    <row r="425" spans="4:14" x14ac:dyDescent="0.25">
      <c r="D425">
        <v>1424</v>
      </c>
      <c r="E425" s="4">
        <v>45744</v>
      </c>
      <c r="F425" t="s">
        <v>23</v>
      </c>
      <c r="G425" t="s">
        <v>11</v>
      </c>
      <c r="H425" t="s">
        <v>21</v>
      </c>
      <c r="I425" t="s">
        <v>22</v>
      </c>
      <c r="J425">
        <v>6</v>
      </c>
      <c r="K425" s="1">
        <v>15000</v>
      </c>
      <c r="L425" s="1">
        <f>Table1[[#This Row],[Unit Price]]*Table1[[#This Row],[Units]]</f>
        <v>90000</v>
      </c>
      <c r="M425" s="1">
        <v>23210</v>
      </c>
      <c r="N425" t="s">
        <v>26</v>
      </c>
    </row>
    <row r="426" spans="4:14" x14ac:dyDescent="0.25">
      <c r="D426">
        <v>1425</v>
      </c>
      <c r="E426" s="4">
        <v>45684</v>
      </c>
      <c r="F426" t="s">
        <v>10</v>
      </c>
      <c r="G426" t="s">
        <v>29</v>
      </c>
      <c r="H426" t="s">
        <v>33</v>
      </c>
      <c r="I426" t="s">
        <v>22</v>
      </c>
      <c r="J426">
        <v>4</v>
      </c>
      <c r="K426" s="1">
        <v>15000</v>
      </c>
      <c r="L426" s="1">
        <f>Table1[[#This Row],[Unit Price]]*Table1[[#This Row],[Units]]</f>
        <v>60000</v>
      </c>
      <c r="M426" s="1">
        <v>12068</v>
      </c>
      <c r="N426" t="s">
        <v>26</v>
      </c>
    </row>
    <row r="427" spans="4:14" x14ac:dyDescent="0.25">
      <c r="D427">
        <v>1426</v>
      </c>
      <c r="E427" s="4">
        <v>45795</v>
      </c>
      <c r="F427" t="s">
        <v>15</v>
      </c>
      <c r="G427" t="s">
        <v>11</v>
      </c>
      <c r="H427" t="s">
        <v>33</v>
      </c>
      <c r="I427" t="s">
        <v>34</v>
      </c>
      <c r="J427">
        <v>3</v>
      </c>
      <c r="K427" s="1">
        <v>30000</v>
      </c>
      <c r="L427" s="1">
        <f>Table1[[#This Row],[Unit Price]]*Table1[[#This Row],[Units]]</f>
        <v>90000</v>
      </c>
      <c r="M427" s="1">
        <v>31177</v>
      </c>
      <c r="N427" t="s">
        <v>26</v>
      </c>
    </row>
    <row r="428" spans="4:14" x14ac:dyDescent="0.25">
      <c r="D428">
        <v>1427</v>
      </c>
      <c r="E428" s="4">
        <v>45662</v>
      </c>
      <c r="F428" t="s">
        <v>10</v>
      </c>
      <c r="G428" t="s">
        <v>16</v>
      </c>
      <c r="H428" t="s">
        <v>30</v>
      </c>
      <c r="I428" t="s">
        <v>22</v>
      </c>
      <c r="J428">
        <v>1</v>
      </c>
      <c r="K428" s="1">
        <v>15000</v>
      </c>
      <c r="L428" s="1">
        <f>Table1[[#This Row],[Unit Price]]*Table1[[#This Row],[Units]]</f>
        <v>15000</v>
      </c>
      <c r="M428" s="1">
        <v>3806</v>
      </c>
      <c r="N428" t="s">
        <v>14</v>
      </c>
    </row>
    <row r="429" spans="4:14" x14ac:dyDescent="0.25">
      <c r="D429">
        <v>1428</v>
      </c>
      <c r="E429" s="4">
        <v>45681</v>
      </c>
      <c r="F429" t="s">
        <v>10</v>
      </c>
      <c r="G429" t="s">
        <v>24</v>
      </c>
      <c r="H429" t="s">
        <v>25</v>
      </c>
      <c r="I429" t="s">
        <v>28</v>
      </c>
      <c r="J429">
        <v>1</v>
      </c>
      <c r="K429" s="1">
        <v>2000</v>
      </c>
      <c r="L429" s="1">
        <f>Table1[[#This Row],[Unit Price]]*Table1[[#This Row],[Units]]</f>
        <v>2000</v>
      </c>
      <c r="M429" s="1">
        <v>399</v>
      </c>
      <c r="N429" t="s">
        <v>14</v>
      </c>
    </row>
    <row r="430" spans="4:14" x14ac:dyDescent="0.25">
      <c r="D430">
        <v>1429</v>
      </c>
      <c r="E430" s="4">
        <v>45736</v>
      </c>
      <c r="F430" t="s">
        <v>23</v>
      </c>
      <c r="G430" t="s">
        <v>24</v>
      </c>
      <c r="H430" t="s">
        <v>33</v>
      </c>
      <c r="I430" t="s">
        <v>22</v>
      </c>
      <c r="J430">
        <v>9</v>
      </c>
      <c r="K430" s="1">
        <v>15000</v>
      </c>
      <c r="L430" s="1">
        <f>Table1[[#This Row],[Unit Price]]*Table1[[#This Row],[Units]]</f>
        <v>135000</v>
      </c>
      <c r="M430" s="1">
        <v>25754</v>
      </c>
      <c r="N430" t="s">
        <v>26</v>
      </c>
    </row>
    <row r="431" spans="4:14" x14ac:dyDescent="0.25">
      <c r="D431">
        <v>1430</v>
      </c>
      <c r="E431" s="4">
        <v>45698</v>
      </c>
      <c r="F431" t="s">
        <v>32</v>
      </c>
      <c r="G431" t="s">
        <v>29</v>
      </c>
      <c r="H431" t="s">
        <v>17</v>
      </c>
      <c r="I431" t="s">
        <v>28</v>
      </c>
      <c r="J431">
        <v>4</v>
      </c>
      <c r="K431" s="1">
        <v>2000</v>
      </c>
      <c r="L431" s="1">
        <f>Table1[[#This Row],[Unit Price]]*Table1[[#This Row],[Units]]</f>
        <v>8000</v>
      </c>
      <c r="M431" s="1">
        <v>1619</v>
      </c>
      <c r="N431" t="s">
        <v>14</v>
      </c>
    </row>
    <row r="432" spans="4:14" x14ac:dyDescent="0.25">
      <c r="D432">
        <v>1431</v>
      </c>
      <c r="E432" s="4">
        <v>45677</v>
      </c>
      <c r="F432" t="s">
        <v>10</v>
      </c>
      <c r="G432" t="s">
        <v>16</v>
      </c>
      <c r="H432" t="s">
        <v>12</v>
      </c>
      <c r="I432" t="s">
        <v>13</v>
      </c>
      <c r="J432">
        <v>7</v>
      </c>
      <c r="K432" s="1">
        <v>800</v>
      </c>
      <c r="L432" s="1">
        <f>Table1[[#This Row],[Unit Price]]*Table1[[#This Row],[Units]]</f>
        <v>5600</v>
      </c>
      <c r="M432" s="1">
        <v>1184</v>
      </c>
      <c r="N432" t="s">
        <v>14</v>
      </c>
    </row>
    <row r="433" spans="4:14" x14ac:dyDescent="0.25">
      <c r="D433">
        <v>1432</v>
      </c>
      <c r="E433" s="4">
        <v>45783</v>
      </c>
      <c r="F433" t="s">
        <v>15</v>
      </c>
      <c r="G433" t="s">
        <v>16</v>
      </c>
      <c r="H433" t="s">
        <v>17</v>
      </c>
      <c r="I433" t="s">
        <v>28</v>
      </c>
      <c r="J433">
        <v>7</v>
      </c>
      <c r="K433" s="1">
        <v>2000</v>
      </c>
      <c r="L433" s="1">
        <f>Table1[[#This Row],[Unit Price]]*Table1[[#This Row],[Units]]</f>
        <v>14000</v>
      </c>
      <c r="M433" s="1">
        <v>2480</v>
      </c>
      <c r="N433" t="s">
        <v>14</v>
      </c>
    </row>
    <row r="434" spans="4:14" x14ac:dyDescent="0.25">
      <c r="D434">
        <v>1433</v>
      </c>
      <c r="E434" s="4">
        <v>45837</v>
      </c>
      <c r="F434" t="s">
        <v>27</v>
      </c>
      <c r="G434" t="s">
        <v>16</v>
      </c>
      <c r="H434" t="s">
        <v>35</v>
      </c>
      <c r="I434" t="s">
        <v>18</v>
      </c>
      <c r="J434">
        <v>5</v>
      </c>
      <c r="K434" s="1">
        <v>60000</v>
      </c>
      <c r="L434" s="1">
        <f>Table1[[#This Row],[Unit Price]]*Table1[[#This Row],[Units]]</f>
        <v>300000</v>
      </c>
      <c r="M434" s="1">
        <v>67340</v>
      </c>
      <c r="N434" t="s">
        <v>19</v>
      </c>
    </row>
    <row r="435" spans="4:14" x14ac:dyDescent="0.25">
      <c r="D435">
        <v>1434</v>
      </c>
      <c r="E435" s="4">
        <v>45694</v>
      </c>
      <c r="F435" t="s">
        <v>32</v>
      </c>
      <c r="G435" t="s">
        <v>11</v>
      </c>
      <c r="H435" t="s">
        <v>21</v>
      </c>
      <c r="I435" t="s">
        <v>22</v>
      </c>
      <c r="J435">
        <v>7</v>
      </c>
      <c r="K435" s="1">
        <v>15000</v>
      </c>
      <c r="L435" s="1">
        <f>Table1[[#This Row],[Unit Price]]*Table1[[#This Row],[Units]]</f>
        <v>105000</v>
      </c>
      <c r="M435" s="1">
        <v>25493</v>
      </c>
      <c r="N435" t="s">
        <v>26</v>
      </c>
    </row>
    <row r="436" spans="4:14" x14ac:dyDescent="0.25">
      <c r="D436">
        <v>1435</v>
      </c>
      <c r="E436" s="4">
        <v>45738</v>
      </c>
      <c r="F436" t="s">
        <v>23</v>
      </c>
      <c r="G436" t="s">
        <v>11</v>
      </c>
      <c r="H436" t="s">
        <v>35</v>
      </c>
      <c r="I436" t="s">
        <v>13</v>
      </c>
      <c r="J436">
        <v>4</v>
      </c>
      <c r="K436" s="1">
        <v>800</v>
      </c>
      <c r="L436" s="1">
        <f>Table1[[#This Row],[Unit Price]]*Table1[[#This Row],[Units]]</f>
        <v>3200</v>
      </c>
      <c r="M436" s="1">
        <v>498</v>
      </c>
      <c r="N436" t="s">
        <v>14</v>
      </c>
    </row>
    <row r="437" spans="4:14" x14ac:dyDescent="0.25">
      <c r="D437">
        <v>1436</v>
      </c>
      <c r="E437" s="4">
        <v>45820</v>
      </c>
      <c r="F437" t="s">
        <v>27</v>
      </c>
      <c r="G437" t="s">
        <v>24</v>
      </c>
      <c r="H437" t="s">
        <v>12</v>
      </c>
      <c r="I437" t="s">
        <v>18</v>
      </c>
      <c r="J437">
        <v>8</v>
      </c>
      <c r="K437" s="1">
        <v>60000</v>
      </c>
      <c r="L437" s="1">
        <f>Table1[[#This Row],[Unit Price]]*Table1[[#This Row],[Units]]</f>
        <v>480000</v>
      </c>
      <c r="M437" s="1">
        <v>110904</v>
      </c>
      <c r="N437" t="s">
        <v>19</v>
      </c>
    </row>
    <row r="438" spans="4:14" x14ac:dyDescent="0.25">
      <c r="D438">
        <v>1437</v>
      </c>
      <c r="E438" s="4">
        <v>45801</v>
      </c>
      <c r="F438" t="s">
        <v>15</v>
      </c>
      <c r="G438" t="s">
        <v>29</v>
      </c>
      <c r="H438" t="s">
        <v>30</v>
      </c>
      <c r="I438" t="s">
        <v>13</v>
      </c>
      <c r="J438">
        <v>6</v>
      </c>
      <c r="K438" s="1">
        <v>800</v>
      </c>
      <c r="L438" s="1">
        <f>Table1[[#This Row],[Unit Price]]*Table1[[#This Row],[Units]]</f>
        <v>4800</v>
      </c>
      <c r="M438" s="1">
        <v>1489</v>
      </c>
      <c r="N438" t="s">
        <v>14</v>
      </c>
    </row>
    <row r="439" spans="4:14" x14ac:dyDescent="0.25">
      <c r="D439">
        <v>1438</v>
      </c>
      <c r="E439" s="4">
        <v>45747</v>
      </c>
      <c r="F439" t="s">
        <v>23</v>
      </c>
      <c r="G439" t="s">
        <v>16</v>
      </c>
      <c r="H439" t="s">
        <v>33</v>
      </c>
      <c r="I439" t="s">
        <v>28</v>
      </c>
      <c r="J439">
        <v>5</v>
      </c>
      <c r="K439" s="1">
        <v>2000</v>
      </c>
      <c r="L439" s="1">
        <f>Table1[[#This Row],[Unit Price]]*Table1[[#This Row],[Units]]</f>
        <v>10000</v>
      </c>
      <c r="M439" s="1">
        <v>2958</v>
      </c>
      <c r="N439" t="s">
        <v>14</v>
      </c>
    </row>
    <row r="440" spans="4:14" x14ac:dyDescent="0.25">
      <c r="D440">
        <v>1439</v>
      </c>
      <c r="E440" s="4">
        <v>45768</v>
      </c>
      <c r="F440" t="s">
        <v>20</v>
      </c>
      <c r="G440" t="s">
        <v>29</v>
      </c>
      <c r="H440" t="s">
        <v>35</v>
      </c>
      <c r="I440" t="s">
        <v>34</v>
      </c>
      <c r="J440">
        <v>4</v>
      </c>
      <c r="K440" s="1">
        <v>30000</v>
      </c>
      <c r="L440" s="1">
        <f>Table1[[#This Row],[Unit Price]]*Table1[[#This Row],[Units]]</f>
        <v>120000</v>
      </c>
      <c r="M440" s="1">
        <v>18738</v>
      </c>
      <c r="N440" t="s">
        <v>26</v>
      </c>
    </row>
    <row r="441" spans="4:14" x14ac:dyDescent="0.25">
      <c r="D441">
        <v>1440</v>
      </c>
      <c r="E441" s="4">
        <v>45814</v>
      </c>
      <c r="F441" t="s">
        <v>27</v>
      </c>
      <c r="G441" t="s">
        <v>11</v>
      </c>
      <c r="H441" t="s">
        <v>12</v>
      </c>
      <c r="I441" t="s">
        <v>28</v>
      </c>
      <c r="J441">
        <v>8</v>
      </c>
      <c r="K441" s="1">
        <v>2000</v>
      </c>
      <c r="L441" s="1">
        <f>Table1[[#This Row],[Unit Price]]*Table1[[#This Row],[Units]]</f>
        <v>16000</v>
      </c>
      <c r="M441" s="1">
        <v>5055</v>
      </c>
      <c r="N441" t="s">
        <v>14</v>
      </c>
    </row>
    <row r="442" spans="4:14" x14ac:dyDescent="0.25">
      <c r="D442">
        <v>1441</v>
      </c>
      <c r="E442" s="4">
        <v>45687</v>
      </c>
      <c r="F442" t="s">
        <v>10</v>
      </c>
      <c r="G442" t="s">
        <v>11</v>
      </c>
      <c r="H442" t="s">
        <v>12</v>
      </c>
      <c r="I442" t="s">
        <v>22</v>
      </c>
      <c r="J442">
        <v>4</v>
      </c>
      <c r="K442" s="1">
        <v>15000</v>
      </c>
      <c r="L442" s="1">
        <f>Table1[[#This Row],[Unit Price]]*Table1[[#This Row],[Units]]</f>
        <v>60000</v>
      </c>
      <c r="M442" s="1">
        <v>12762</v>
      </c>
      <c r="N442" t="s">
        <v>26</v>
      </c>
    </row>
    <row r="443" spans="4:14" x14ac:dyDescent="0.25">
      <c r="D443">
        <v>1442</v>
      </c>
      <c r="E443" s="4">
        <v>45696</v>
      </c>
      <c r="F443" t="s">
        <v>32</v>
      </c>
      <c r="G443" t="s">
        <v>16</v>
      </c>
      <c r="H443" t="s">
        <v>33</v>
      </c>
      <c r="I443" t="s">
        <v>28</v>
      </c>
      <c r="J443">
        <v>1</v>
      </c>
      <c r="K443" s="1">
        <v>2000</v>
      </c>
      <c r="L443" s="1">
        <f>Table1[[#This Row],[Unit Price]]*Table1[[#This Row],[Units]]</f>
        <v>2000</v>
      </c>
      <c r="M443" s="1">
        <v>369</v>
      </c>
      <c r="N443" t="s">
        <v>14</v>
      </c>
    </row>
    <row r="444" spans="4:14" x14ac:dyDescent="0.25">
      <c r="D444">
        <v>1443</v>
      </c>
      <c r="E444" s="4">
        <v>45776</v>
      </c>
      <c r="F444" t="s">
        <v>20</v>
      </c>
      <c r="G444" t="s">
        <v>24</v>
      </c>
      <c r="H444" t="s">
        <v>35</v>
      </c>
      <c r="I444" t="s">
        <v>28</v>
      </c>
      <c r="J444">
        <v>9</v>
      </c>
      <c r="K444" s="1">
        <v>2000</v>
      </c>
      <c r="L444" s="1">
        <f>Table1[[#This Row],[Unit Price]]*Table1[[#This Row],[Units]]</f>
        <v>18000</v>
      </c>
      <c r="M444" s="1">
        <v>2839</v>
      </c>
      <c r="N444" t="s">
        <v>14</v>
      </c>
    </row>
    <row r="445" spans="4:14" x14ac:dyDescent="0.25">
      <c r="D445">
        <v>1444</v>
      </c>
      <c r="E445" s="4">
        <v>45810</v>
      </c>
      <c r="F445" t="s">
        <v>27</v>
      </c>
      <c r="G445" t="s">
        <v>11</v>
      </c>
      <c r="H445" t="s">
        <v>31</v>
      </c>
      <c r="I445" t="s">
        <v>13</v>
      </c>
      <c r="J445">
        <v>7</v>
      </c>
      <c r="K445" s="1">
        <v>800</v>
      </c>
      <c r="L445" s="1">
        <f>Table1[[#This Row],[Unit Price]]*Table1[[#This Row],[Units]]</f>
        <v>5600</v>
      </c>
      <c r="M445" s="1">
        <v>848</v>
      </c>
      <c r="N445" t="s">
        <v>14</v>
      </c>
    </row>
    <row r="446" spans="4:14" x14ac:dyDescent="0.25">
      <c r="D446">
        <v>1445</v>
      </c>
      <c r="E446" s="4">
        <v>45764</v>
      </c>
      <c r="F446" t="s">
        <v>20</v>
      </c>
      <c r="G446" t="s">
        <v>11</v>
      </c>
      <c r="H446" t="s">
        <v>25</v>
      </c>
      <c r="I446" t="s">
        <v>18</v>
      </c>
      <c r="J446">
        <v>8</v>
      </c>
      <c r="K446" s="1">
        <v>60000</v>
      </c>
      <c r="L446" s="1">
        <f>Table1[[#This Row],[Unit Price]]*Table1[[#This Row],[Units]]</f>
        <v>480000</v>
      </c>
      <c r="M446" s="1">
        <v>138030</v>
      </c>
      <c r="N446" t="s">
        <v>19</v>
      </c>
    </row>
    <row r="447" spans="4:14" x14ac:dyDescent="0.25">
      <c r="D447">
        <v>1446</v>
      </c>
      <c r="E447" s="4">
        <v>45838</v>
      </c>
      <c r="F447" t="s">
        <v>27</v>
      </c>
      <c r="G447" t="s">
        <v>11</v>
      </c>
      <c r="H447" t="s">
        <v>35</v>
      </c>
      <c r="I447" t="s">
        <v>18</v>
      </c>
      <c r="J447">
        <v>3</v>
      </c>
      <c r="K447" s="1">
        <v>60000</v>
      </c>
      <c r="L447" s="1">
        <f>Table1[[#This Row],[Unit Price]]*Table1[[#This Row],[Units]]</f>
        <v>180000</v>
      </c>
      <c r="M447" s="1">
        <v>31378</v>
      </c>
      <c r="N447" t="s">
        <v>26</v>
      </c>
    </row>
    <row r="448" spans="4:14" x14ac:dyDescent="0.25">
      <c r="D448">
        <v>1447</v>
      </c>
      <c r="E448" s="4">
        <v>45781</v>
      </c>
      <c r="F448" t="s">
        <v>15</v>
      </c>
      <c r="G448" t="s">
        <v>24</v>
      </c>
      <c r="H448" t="s">
        <v>12</v>
      </c>
      <c r="I448" t="s">
        <v>18</v>
      </c>
      <c r="J448">
        <v>4</v>
      </c>
      <c r="K448" s="1">
        <v>60000</v>
      </c>
      <c r="L448" s="1">
        <f>Table1[[#This Row],[Unit Price]]*Table1[[#This Row],[Units]]</f>
        <v>240000</v>
      </c>
      <c r="M448" s="1">
        <v>67341</v>
      </c>
      <c r="N448" t="s">
        <v>19</v>
      </c>
    </row>
    <row r="449" spans="4:14" x14ac:dyDescent="0.25">
      <c r="D449">
        <v>1448</v>
      </c>
      <c r="E449" s="4">
        <v>45765</v>
      </c>
      <c r="F449" t="s">
        <v>20</v>
      </c>
      <c r="G449" t="s">
        <v>29</v>
      </c>
      <c r="H449" t="s">
        <v>25</v>
      </c>
      <c r="I449" t="s">
        <v>34</v>
      </c>
      <c r="J449">
        <v>6</v>
      </c>
      <c r="K449" s="1">
        <v>30000</v>
      </c>
      <c r="L449" s="1">
        <f>Table1[[#This Row],[Unit Price]]*Table1[[#This Row],[Units]]</f>
        <v>180000</v>
      </c>
      <c r="M449" s="1">
        <v>27185</v>
      </c>
      <c r="N449" t="s">
        <v>26</v>
      </c>
    </row>
    <row r="450" spans="4:14" x14ac:dyDescent="0.25">
      <c r="D450">
        <v>1449</v>
      </c>
      <c r="E450" s="4">
        <v>45675</v>
      </c>
      <c r="F450" t="s">
        <v>10</v>
      </c>
      <c r="G450" t="s">
        <v>11</v>
      </c>
      <c r="H450" t="s">
        <v>21</v>
      </c>
      <c r="I450" t="s">
        <v>18</v>
      </c>
      <c r="J450">
        <v>5</v>
      </c>
      <c r="K450" s="1">
        <v>60000</v>
      </c>
      <c r="L450" s="1">
        <f>Table1[[#This Row],[Unit Price]]*Table1[[#This Row],[Units]]</f>
        <v>300000</v>
      </c>
      <c r="M450" s="1">
        <v>82376</v>
      </c>
      <c r="N450" t="s">
        <v>19</v>
      </c>
    </row>
    <row r="451" spans="4:14" x14ac:dyDescent="0.25">
      <c r="D451">
        <v>1450</v>
      </c>
      <c r="E451" s="4">
        <v>45679</v>
      </c>
      <c r="F451" t="s">
        <v>10</v>
      </c>
      <c r="G451" t="s">
        <v>24</v>
      </c>
      <c r="H451" t="s">
        <v>30</v>
      </c>
      <c r="I451" t="s">
        <v>34</v>
      </c>
      <c r="J451">
        <v>10</v>
      </c>
      <c r="K451" s="1">
        <v>30000</v>
      </c>
      <c r="L451" s="1">
        <f>Table1[[#This Row],[Unit Price]]*Table1[[#This Row],[Units]]</f>
        <v>300000</v>
      </c>
      <c r="M451" s="1">
        <v>95124</v>
      </c>
      <c r="N451" t="s">
        <v>19</v>
      </c>
    </row>
    <row r="452" spans="4:14" x14ac:dyDescent="0.25">
      <c r="D452">
        <v>1451</v>
      </c>
      <c r="E452" s="4">
        <v>45681</v>
      </c>
      <c r="F452" t="s">
        <v>10</v>
      </c>
      <c r="G452" t="s">
        <v>29</v>
      </c>
      <c r="H452" t="s">
        <v>17</v>
      </c>
      <c r="I452" t="s">
        <v>18</v>
      </c>
      <c r="J452">
        <v>9</v>
      </c>
      <c r="K452" s="1">
        <v>60000</v>
      </c>
      <c r="L452" s="1">
        <f>Table1[[#This Row],[Unit Price]]*Table1[[#This Row],[Units]]</f>
        <v>540000</v>
      </c>
      <c r="M452" s="1">
        <v>129123</v>
      </c>
      <c r="N452" t="s">
        <v>19</v>
      </c>
    </row>
    <row r="453" spans="4:14" x14ac:dyDescent="0.25">
      <c r="D453">
        <v>1452</v>
      </c>
      <c r="E453" s="4">
        <v>45718</v>
      </c>
      <c r="F453" t="s">
        <v>23</v>
      </c>
      <c r="G453" t="s">
        <v>24</v>
      </c>
      <c r="H453" t="s">
        <v>12</v>
      </c>
      <c r="I453" t="s">
        <v>22</v>
      </c>
      <c r="J453">
        <v>5</v>
      </c>
      <c r="K453" s="1">
        <v>15000</v>
      </c>
      <c r="L453" s="1">
        <f>Table1[[#This Row],[Unit Price]]*Table1[[#This Row],[Units]]</f>
        <v>75000</v>
      </c>
      <c r="M453" s="1">
        <v>13706</v>
      </c>
      <c r="N453" t="s">
        <v>26</v>
      </c>
    </row>
    <row r="454" spans="4:14" x14ac:dyDescent="0.25">
      <c r="D454">
        <v>1453</v>
      </c>
      <c r="E454" s="4">
        <v>45700</v>
      </c>
      <c r="F454" t="s">
        <v>32</v>
      </c>
      <c r="G454" t="s">
        <v>11</v>
      </c>
      <c r="H454" t="s">
        <v>21</v>
      </c>
      <c r="I454" t="s">
        <v>18</v>
      </c>
      <c r="J454">
        <v>3</v>
      </c>
      <c r="K454" s="1">
        <v>60000</v>
      </c>
      <c r="L454" s="1">
        <f>Table1[[#This Row],[Unit Price]]*Table1[[#This Row],[Units]]</f>
        <v>180000</v>
      </c>
      <c r="M454" s="1">
        <v>32334</v>
      </c>
      <c r="N454" t="s">
        <v>26</v>
      </c>
    </row>
    <row r="455" spans="4:14" x14ac:dyDescent="0.25">
      <c r="D455">
        <v>1454</v>
      </c>
      <c r="E455" s="4">
        <v>45754</v>
      </c>
      <c r="F455" t="s">
        <v>20</v>
      </c>
      <c r="G455" t="s">
        <v>24</v>
      </c>
      <c r="H455" t="s">
        <v>30</v>
      </c>
      <c r="I455" t="s">
        <v>18</v>
      </c>
      <c r="J455">
        <v>1</v>
      </c>
      <c r="K455" s="1">
        <v>60000</v>
      </c>
      <c r="L455" s="1">
        <f>Table1[[#This Row],[Unit Price]]*Table1[[#This Row],[Units]]</f>
        <v>60000</v>
      </c>
      <c r="M455" s="1">
        <v>10709</v>
      </c>
      <c r="N455" t="s">
        <v>26</v>
      </c>
    </row>
    <row r="456" spans="4:14" x14ac:dyDescent="0.25">
      <c r="D456">
        <v>1455</v>
      </c>
      <c r="E456" s="4">
        <v>45710</v>
      </c>
      <c r="F456" t="s">
        <v>32</v>
      </c>
      <c r="G456" t="s">
        <v>24</v>
      </c>
      <c r="H456" t="s">
        <v>21</v>
      </c>
      <c r="I456" t="s">
        <v>22</v>
      </c>
      <c r="J456">
        <v>5</v>
      </c>
      <c r="K456" s="1">
        <v>15000</v>
      </c>
      <c r="L456" s="1">
        <f>Table1[[#This Row],[Unit Price]]*Table1[[#This Row],[Units]]</f>
        <v>75000</v>
      </c>
      <c r="M456" s="1">
        <v>17415</v>
      </c>
      <c r="N456" t="s">
        <v>26</v>
      </c>
    </row>
    <row r="457" spans="4:14" x14ac:dyDescent="0.25">
      <c r="D457">
        <v>1456</v>
      </c>
      <c r="E457" s="4">
        <v>45822</v>
      </c>
      <c r="F457" t="s">
        <v>27</v>
      </c>
      <c r="G457" t="s">
        <v>11</v>
      </c>
      <c r="H457" t="s">
        <v>25</v>
      </c>
      <c r="I457" t="s">
        <v>28</v>
      </c>
      <c r="J457">
        <v>6</v>
      </c>
      <c r="K457" s="1">
        <v>2000</v>
      </c>
      <c r="L457" s="1">
        <f>Table1[[#This Row],[Unit Price]]*Table1[[#This Row],[Units]]</f>
        <v>12000</v>
      </c>
      <c r="M457" s="1">
        <v>3319</v>
      </c>
      <c r="N457" t="s">
        <v>14</v>
      </c>
    </row>
    <row r="458" spans="4:14" x14ac:dyDescent="0.25">
      <c r="D458">
        <v>1457</v>
      </c>
      <c r="E458" s="4">
        <v>45736</v>
      </c>
      <c r="F458" t="s">
        <v>23</v>
      </c>
      <c r="G458" t="s">
        <v>29</v>
      </c>
      <c r="H458" t="s">
        <v>30</v>
      </c>
      <c r="I458" t="s">
        <v>34</v>
      </c>
      <c r="J458">
        <v>4</v>
      </c>
      <c r="K458" s="1">
        <v>30000</v>
      </c>
      <c r="L458" s="1">
        <f>Table1[[#This Row],[Unit Price]]*Table1[[#This Row],[Units]]</f>
        <v>120000</v>
      </c>
      <c r="M458" s="1">
        <v>40049</v>
      </c>
      <c r="N458" t="s">
        <v>26</v>
      </c>
    </row>
    <row r="459" spans="4:14" x14ac:dyDescent="0.25">
      <c r="D459">
        <v>1458</v>
      </c>
      <c r="E459" s="4">
        <v>45794</v>
      </c>
      <c r="F459" t="s">
        <v>15</v>
      </c>
      <c r="G459" t="s">
        <v>29</v>
      </c>
      <c r="H459" t="s">
        <v>30</v>
      </c>
      <c r="I459" t="s">
        <v>13</v>
      </c>
      <c r="J459">
        <v>9</v>
      </c>
      <c r="K459" s="1">
        <v>800</v>
      </c>
      <c r="L459" s="1">
        <f>Table1[[#This Row],[Unit Price]]*Table1[[#This Row],[Units]]</f>
        <v>7200</v>
      </c>
      <c r="M459" s="1">
        <v>1902</v>
      </c>
      <c r="N459" t="s">
        <v>14</v>
      </c>
    </row>
    <row r="460" spans="4:14" x14ac:dyDescent="0.25">
      <c r="D460">
        <v>1459</v>
      </c>
      <c r="E460" s="4">
        <v>45730</v>
      </c>
      <c r="F460" t="s">
        <v>23</v>
      </c>
      <c r="G460" t="s">
        <v>11</v>
      </c>
      <c r="H460" t="s">
        <v>17</v>
      </c>
      <c r="I460" t="s">
        <v>28</v>
      </c>
      <c r="J460">
        <v>2</v>
      </c>
      <c r="K460" s="1">
        <v>2000</v>
      </c>
      <c r="L460" s="1">
        <f>Table1[[#This Row],[Unit Price]]*Table1[[#This Row],[Units]]</f>
        <v>4000</v>
      </c>
      <c r="M460" s="1">
        <v>842</v>
      </c>
      <c r="N460" t="s">
        <v>14</v>
      </c>
    </row>
    <row r="461" spans="4:14" x14ac:dyDescent="0.25">
      <c r="D461">
        <v>1460</v>
      </c>
      <c r="E461" s="4">
        <v>45661</v>
      </c>
      <c r="F461" t="s">
        <v>10</v>
      </c>
      <c r="G461" t="s">
        <v>24</v>
      </c>
      <c r="H461" t="s">
        <v>25</v>
      </c>
      <c r="I461" t="s">
        <v>34</v>
      </c>
      <c r="J461">
        <v>4</v>
      </c>
      <c r="K461" s="1">
        <v>30000</v>
      </c>
      <c r="L461" s="1">
        <f>Table1[[#This Row],[Unit Price]]*Table1[[#This Row],[Units]]</f>
        <v>120000</v>
      </c>
      <c r="M461" s="1">
        <v>30064</v>
      </c>
      <c r="N461" t="s">
        <v>26</v>
      </c>
    </row>
    <row r="462" spans="4:14" x14ac:dyDescent="0.25">
      <c r="D462">
        <v>1461</v>
      </c>
      <c r="E462" s="4">
        <v>45788</v>
      </c>
      <c r="F462" t="s">
        <v>15</v>
      </c>
      <c r="G462" t="s">
        <v>11</v>
      </c>
      <c r="H462" t="s">
        <v>35</v>
      </c>
      <c r="I462" t="s">
        <v>22</v>
      </c>
      <c r="J462">
        <v>1</v>
      </c>
      <c r="K462" s="1">
        <v>15000</v>
      </c>
      <c r="L462" s="1">
        <f>Table1[[#This Row],[Unit Price]]*Table1[[#This Row],[Units]]</f>
        <v>15000</v>
      </c>
      <c r="M462" s="1">
        <v>4990</v>
      </c>
      <c r="N462" t="s">
        <v>14</v>
      </c>
    </row>
    <row r="463" spans="4:14" x14ac:dyDescent="0.25">
      <c r="D463">
        <v>1462</v>
      </c>
      <c r="E463" s="4">
        <v>45726</v>
      </c>
      <c r="F463" t="s">
        <v>23</v>
      </c>
      <c r="G463" t="s">
        <v>16</v>
      </c>
      <c r="H463" t="s">
        <v>21</v>
      </c>
      <c r="I463" t="s">
        <v>34</v>
      </c>
      <c r="J463">
        <v>8</v>
      </c>
      <c r="K463" s="1">
        <v>30000</v>
      </c>
      <c r="L463" s="1">
        <f>Table1[[#This Row],[Unit Price]]*Table1[[#This Row],[Units]]</f>
        <v>240000</v>
      </c>
      <c r="M463" s="1">
        <v>43099</v>
      </c>
      <c r="N463" t="s">
        <v>19</v>
      </c>
    </row>
    <row r="464" spans="4:14" x14ac:dyDescent="0.25">
      <c r="D464">
        <v>1463</v>
      </c>
      <c r="E464" s="4">
        <v>45711</v>
      </c>
      <c r="F464" t="s">
        <v>32</v>
      </c>
      <c r="G464" t="s">
        <v>16</v>
      </c>
      <c r="H464" t="s">
        <v>25</v>
      </c>
      <c r="I464" t="s">
        <v>22</v>
      </c>
      <c r="J464">
        <v>8</v>
      </c>
      <c r="K464" s="1">
        <v>15000</v>
      </c>
      <c r="L464" s="1">
        <f>Table1[[#This Row],[Unit Price]]*Table1[[#This Row],[Units]]</f>
        <v>120000</v>
      </c>
      <c r="M464" s="1">
        <v>40974</v>
      </c>
      <c r="N464" t="s">
        <v>26</v>
      </c>
    </row>
    <row r="465" spans="4:14" x14ac:dyDescent="0.25">
      <c r="D465">
        <v>1464</v>
      </c>
      <c r="E465" s="4">
        <v>45707</v>
      </c>
      <c r="F465" t="s">
        <v>32</v>
      </c>
      <c r="G465" t="s">
        <v>24</v>
      </c>
      <c r="H465" t="s">
        <v>33</v>
      </c>
      <c r="I465" t="s">
        <v>22</v>
      </c>
      <c r="J465">
        <v>8</v>
      </c>
      <c r="K465" s="1">
        <v>15000</v>
      </c>
      <c r="L465" s="1">
        <f>Table1[[#This Row],[Unit Price]]*Table1[[#This Row],[Units]]</f>
        <v>120000</v>
      </c>
      <c r="M465" s="1">
        <v>19202</v>
      </c>
      <c r="N465" t="s">
        <v>26</v>
      </c>
    </row>
    <row r="466" spans="4:14" x14ac:dyDescent="0.25">
      <c r="D466">
        <v>1465</v>
      </c>
      <c r="E466" s="4">
        <v>45719</v>
      </c>
      <c r="F466" t="s">
        <v>23</v>
      </c>
      <c r="G466" t="s">
        <v>11</v>
      </c>
      <c r="H466" t="s">
        <v>21</v>
      </c>
      <c r="I466" t="s">
        <v>18</v>
      </c>
      <c r="J466">
        <v>2</v>
      </c>
      <c r="K466" s="1">
        <v>60000</v>
      </c>
      <c r="L466" s="1">
        <f>Table1[[#This Row],[Unit Price]]*Table1[[#This Row],[Units]]</f>
        <v>120000</v>
      </c>
      <c r="M466" s="1">
        <v>37538</v>
      </c>
      <c r="N466" t="s">
        <v>26</v>
      </c>
    </row>
    <row r="467" spans="4:14" x14ac:dyDescent="0.25">
      <c r="D467">
        <v>1466</v>
      </c>
      <c r="E467" s="4">
        <v>45772</v>
      </c>
      <c r="F467" t="s">
        <v>20</v>
      </c>
      <c r="G467" t="s">
        <v>16</v>
      </c>
      <c r="H467" t="s">
        <v>35</v>
      </c>
      <c r="I467" t="s">
        <v>18</v>
      </c>
      <c r="J467">
        <v>9</v>
      </c>
      <c r="K467" s="1">
        <v>60000</v>
      </c>
      <c r="L467" s="1">
        <f>Table1[[#This Row],[Unit Price]]*Table1[[#This Row],[Units]]</f>
        <v>540000</v>
      </c>
      <c r="M467" s="1">
        <v>162158</v>
      </c>
      <c r="N467" t="s">
        <v>19</v>
      </c>
    </row>
    <row r="468" spans="4:14" x14ac:dyDescent="0.25">
      <c r="D468">
        <v>1467</v>
      </c>
      <c r="E468" s="4">
        <v>45688</v>
      </c>
      <c r="F468" t="s">
        <v>10</v>
      </c>
      <c r="G468" t="s">
        <v>29</v>
      </c>
      <c r="H468" t="s">
        <v>31</v>
      </c>
      <c r="I468" t="s">
        <v>28</v>
      </c>
      <c r="J468">
        <v>9</v>
      </c>
      <c r="K468" s="1">
        <v>2000</v>
      </c>
      <c r="L468" s="1">
        <f>Table1[[#This Row],[Unit Price]]*Table1[[#This Row],[Units]]</f>
        <v>18000</v>
      </c>
      <c r="M468" s="1">
        <v>3170</v>
      </c>
      <c r="N468" t="s">
        <v>14</v>
      </c>
    </row>
    <row r="469" spans="4:14" x14ac:dyDescent="0.25">
      <c r="D469">
        <v>1468</v>
      </c>
      <c r="E469" s="4">
        <v>45721</v>
      </c>
      <c r="F469" t="s">
        <v>23</v>
      </c>
      <c r="G469" t="s">
        <v>29</v>
      </c>
      <c r="H469" t="s">
        <v>30</v>
      </c>
      <c r="I469" t="s">
        <v>34</v>
      </c>
      <c r="J469">
        <v>4</v>
      </c>
      <c r="K469" s="1">
        <v>30000</v>
      </c>
      <c r="L469" s="1">
        <f>Table1[[#This Row],[Unit Price]]*Table1[[#This Row],[Units]]</f>
        <v>120000</v>
      </c>
      <c r="M469" s="1">
        <v>29200</v>
      </c>
      <c r="N469" t="s">
        <v>26</v>
      </c>
    </row>
    <row r="470" spans="4:14" x14ac:dyDescent="0.25">
      <c r="D470">
        <v>1469</v>
      </c>
      <c r="E470" s="4">
        <v>45726</v>
      </c>
      <c r="F470" t="s">
        <v>23</v>
      </c>
      <c r="G470" t="s">
        <v>11</v>
      </c>
      <c r="H470" t="s">
        <v>33</v>
      </c>
      <c r="I470" t="s">
        <v>22</v>
      </c>
      <c r="J470">
        <v>6</v>
      </c>
      <c r="K470" s="1">
        <v>15000</v>
      </c>
      <c r="L470" s="1">
        <f>Table1[[#This Row],[Unit Price]]*Table1[[#This Row],[Units]]</f>
        <v>90000</v>
      </c>
      <c r="M470" s="1">
        <v>16867</v>
      </c>
      <c r="N470" t="s">
        <v>26</v>
      </c>
    </row>
    <row r="471" spans="4:14" x14ac:dyDescent="0.25">
      <c r="D471">
        <v>1470</v>
      </c>
      <c r="E471" s="4">
        <v>45729</v>
      </c>
      <c r="F471" t="s">
        <v>23</v>
      </c>
      <c r="G471" t="s">
        <v>24</v>
      </c>
      <c r="H471" t="s">
        <v>33</v>
      </c>
      <c r="I471" t="s">
        <v>34</v>
      </c>
      <c r="J471">
        <v>4</v>
      </c>
      <c r="K471" s="1">
        <v>30000</v>
      </c>
      <c r="L471" s="1">
        <f>Table1[[#This Row],[Unit Price]]*Table1[[#This Row],[Units]]</f>
        <v>120000</v>
      </c>
      <c r="M471" s="1">
        <v>29111</v>
      </c>
      <c r="N471" t="s">
        <v>26</v>
      </c>
    </row>
    <row r="472" spans="4:14" x14ac:dyDescent="0.25">
      <c r="D472">
        <v>1471</v>
      </c>
      <c r="E472" s="4">
        <v>45674</v>
      </c>
      <c r="F472" t="s">
        <v>10</v>
      </c>
      <c r="G472" t="s">
        <v>29</v>
      </c>
      <c r="H472" t="s">
        <v>25</v>
      </c>
      <c r="I472" t="s">
        <v>18</v>
      </c>
      <c r="J472">
        <v>7</v>
      </c>
      <c r="K472" s="1">
        <v>60000</v>
      </c>
      <c r="L472" s="1">
        <f>Table1[[#This Row],[Unit Price]]*Table1[[#This Row],[Units]]</f>
        <v>420000</v>
      </c>
      <c r="M472" s="1">
        <v>118170</v>
      </c>
      <c r="N472" t="s">
        <v>19</v>
      </c>
    </row>
    <row r="473" spans="4:14" x14ac:dyDescent="0.25">
      <c r="D473">
        <v>1472</v>
      </c>
      <c r="E473" s="4">
        <v>45690</v>
      </c>
      <c r="F473" t="s">
        <v>32</v>
      </c>
      <c r="G473" t="s">
        <v>16</v>
      </c>
      <c r="H473" t="s">
        <v>33</v>
      </c>
      <c r="I473" t="s">
        <v>34</v>
      </c>
      <c r="J473">
        <v>7</v>
      </c>
      <c r="K473" s="1">
        <v>30000</v>
      </c>
      <c r="L473" s="1">
        <f>Table1[[#This Row],[Unit Price]]*Table1[[#This Row],[Units]]</f>
        <v>210000</v>
      </c>
      <c r="M473" s="1">
        <v>53001</v>
      </c>
      <c r="N473" t="s">
        <v>19</v>
      </c>
    </row>
    <row r="474" spans="4:14" x14ac:dyDescent="0.25">
      <c r="D474">
        <v>1473</v>
      </c>
      <c r="E474" s="4">
        <v>45797</v>
      </c>
      <c r="F474" t="s">
        <v>15</v>
      </c>
      <c r="G474" t="s">
        <v>29</v>
      </c>
      <c r="H474" t="s">
        <v>33</v>
      </c>
      <c r="I474" t="s">
        <v>34</v>
      </c>
      <c r="J474">
        <v>9</v>
      </c>
      <c r="K474" s="1">
        <v>30000</v>
      </c>
      <c r="L474" s="1">
        <f>Table1[[#This Row],[Unit Price]]*Table1[[#This Row],[Units]]</f>
        <v>270000</v>
      </c>
      <c r="M474" s="1">
        <v>77041</v>
      </c>
      <c r="N474" t="s">
        <v>19</v>
      </c>
    </row>
    <row r="475" spans="4:14" x14ac:dyDescent="0.25">
      <c r="D475">
        <v>1474</v>
      </c>
      <c r="E475" s="4">
        <v>45794</v>
      </c>
      <c r="F475" t="s">
        <v>15</v>
      </c>
      <c r="G475" t="s">
        <v>24</v>
      </c>
      <c r="H475" t="s">
        <v>30</v>
      </c>
      <c r="I475" t="s">
        <v>18</v>
      </c>
      <c r="J475">
        <v>2</v>
      </c>
      <c r="K475" s="1">
        <v>60000</v>
      </c>
      <c r="L475" s="1">
        <f>Table1[[#This Row],[Unit Price]]*Table1[[#This Row],[Units]]</f>
        <v>120000</v>
      </c>
      <c r="M475" s="1">
        <v>25279</v>
      </c>
      <c r="N475" t="s">
        <v>26</v>
      </c>
    </row>
    <row r="476" spans="4:14" x14ac:dyDescent="0.25">
      <c r="D476">
        <v>1475</v>
      </c>
      <c r="E476" s="4">
        <v>45796</v>
      </c>
      <c r="F476" t="s">
        <v>15</v>
      </c>
      <c r="G476" t="s">
        <v>24</v>
      </c>
      <c r="H476" t="s">
        <v>31</v>
      </c>
      <c r="I476" t="s">
        <v>13</v>
      </c>
      <c r="J476">
        <v>9</v>
      </c>
      <c r="K476" s="1">
        <v>800</v>
      </c>
      <c r="L476" s="1">
        <f>Table1[[#This Row],[Unit Price]]*Table1[[#This Row],[Units]]</f>
        <v>7200</v>
      </c>
      <c r="M476" s="1">
        <v>1973</v>
      </c>
      <c r="N476" t="s">
        <v>14</v>
      </c>
    </row>
    <row r="477" spans="4:14" x14ac:dyDescent="0.25">
      <c r="D477">
        <v>1476</v>
      </c>
      <c r="E477" s="4">
        <v>45739</v>
      </c>
      <c r="F477" t="s">
        <v>23</v>
      </c>
      <c r="G477" t="s">
        <v>11</v>
      </c>
      <c r="H477" t="s">
        <v>30</v>
      </c>
      <c r="I477" t="s">
        <v>13</v>
      </c>
      <c r="J477">
        <v>10</v>
      </c>
      <c r="K477" s="1">
        <v>800</v>
      </c>
      <c r="L477" s="1">
        <f>Table1[[#This Row],[Unit Price]]*Table1[[#This Row],[Units]]</f>
        <v>8000</v>
      </c>
      <c r="M477" s="1">
        <v>2304</v>
      </c>
      <c r="N477" t="s">
        <v>14</v>
      </c>
    </row>
    <row r="478" spans="4:14" x14ac:dyDescent="0.25">
      <c r="D478">
        <v>1477</v>
      </c>
      <c r="E478" s="4">
        <v>45741</v>
      </c>
      <c r="F478" t="s">
        <v>23</v>
      </c>
      <c r="G478" t="s">
        <v>11</v>
      </c>
      <c r="H478" t="s">
        <v>31</v>
      </c>
      <c r="I478" t="s">
        <v>18</v>
      </c>
      <c r="J478">
        <v>5</v>
      </c>
      <c r="K478" s="1">
        <v>60000</v>
      </c>
      <c r="L478" s="1">
        <f>Table1[[#This Row],[Unit Price]]*Table1[[#This Row],[Units]]</f>
        <v>300000</v>
      </c>
      <c r="M478" s="1">
        <v>70273</v>
      </c>
      <c r="N478" t="s">
        <v>19</v>
      </c>
    </row>
    <row r="479" spans="4:14" x14ac:dyDescent="0.25">
      <c r="D479">
        <v>1478</v>
      </c>
      <c r="E479" s="4">
        <v>45832</v>
      </c>
      <c r="F479" t="s">
        <v>27</v>
      </c>
      <c r="G479" t="s">
        <v>11</v>
      </c>
      <c r="H479" t="s">
        <v>17</v>
      </c>
      <c r="I479" t="s">
        <v>18</v>
      </c>
      <c r="J479">
        <v>4</v>
      </c>
      <c r="K479" s="1">
        <v>60000</v>
      </c>
      <c r="L479" s="1">
        <f>Table1[[#This Row],[Unit Price]]*Table1[[#This Row],[Units]]</f>
        <v>240000</v>
      </c>
      <c r="M479" s="1">
        <v>46540</v>
      </c>
      <c r="N479" t="s">
        <v>19</v>
      </c>
    </row>
    <row r="480" spans="4:14" x14ac:dyDescent="0.25">
      <c r="D480">
        <v>1479</v>
      </c>
      <c r="E480" s="4">
        <v>45766</v>
      </c>
      <c r="F480" t="s">
        <v>20</v>
      </c>
      <c r="G480" t="s">
        <v>24</v>
      </c>
      <c r="H480" t="s">
        <v>33</v>
      </c>
      <c r="I480" t="s">
        <v>22</v>
      </c>
      <c r="J480">
        <v>4</v>
      </c>
      <c r="K480" s="1">
        <v>15000</v>
      </c>
      <c r="L480" s="1">
        <f>Table1[[#This Row],[Unit Price]]*Table1[[#This Row],[Units]]</f>
        <v>60000</v>
      </c>
      <c r="M480" s="1">
        <v>20769</v>
      </c>
      <c r="N480" t="s">
        <v>26</v>
      </c>
    </row>
    <row r="481" spans="4:14" x14ac:dyDescent="0.25">
      <c r="D481">
        <v>1480</v>
      </c>
      <c r="E481" s="4">
        <v>45684</v>
      </c>
      <c r="F481" t="s">
        <v>10</v>
      </c>
      <c r="G481" t="s">
        <v>29</v>
      </c>
      <c r="H481" t="s">
        <v>30</v>
      </c>
      <c r="I481" t="s">
        <v>28</v>
      </c>
      <c r="J481">
        <v>1</v>
      </c>
      <c r="K481" s="1">
        <v>2000</v>
      </c>
      <c r="L481" s="1">
        <f>Table1[[#This Row],[Unit Price]]*Table1[[#This Row],[Units]]</f>
        <v>2000</v>
      </c>
      <c r="M481" s="1">
        <v>505</v>
      </c>
      <c r="N481" t="s">
        <v>14</v>
      </c>
    </row>
    <row r="482" spans="4:14" x14ac:dyDescent="0.25">
      <c r="D482">
        <v>1481</v>
      </c>
      <c r="E482" s="4">
        <v>45723</v>
      </c>
      <c r="F482" t="s">
        <v>23</v>
      </c>
      <c r="G482" t="s">
        <v>29</v>
      </c>
      <c r="H482" t="s">
        <v>31</v>
      </c>
      <c r="I482" t="s">
        <v>13</v>
      </c>
      <c r="J482">
        <v>3</v>
      </c>
      <c r="K482" s="1">
        <v>800</v>
      </c>
      <c r="L482" s="1">
        <f>Table1[[#This Row],[Unit Price]]*Table1[[#This Row],[Units]]</f>
        <v>2400</v>
      </c>
      <c r="M482" s="1">
        <v>399</v>
      </c>
      <c r="N482" t="s">
        <v>14</v>
      </c>
    </row>
    <row r="483" spans="4:14" x14ac:dyDescent="0.25">
      <c r="D483">
        <v>1482</v>
      </c>
      <c r="E483" s="4">
        <v>45729</v>
      </c>
      <c r="F483" t="s">
        <v>23</v>
      </c>
      <c r="G483" t="s">
        <v>16</v>
      </c>
      <c r="H483" t="s">
        <v>31</v>
      </c>
      <c r="I483" t="s">
        <v>18</v>
      </c>
      <c r="J483">
        <v>6</v>
      </c>
      <c r="K483" s="1">
        <v>60000</v>
      </c>
      <c r="L483" s="1">
        <f>Table1[[#This Row],[Unit Price]]*Table1[[#This Row],[Units]]</f>
        <v>360000</v>
      </c>
      <c r="M483" s="1">
        <v>83695</v>
      </c>
      <c r="N483" t="s">
        <v>19</v>
      </c>
    </row>
    <row r="484" spans="4:14" x14ac:dyDescent="0.25">
      <c r="D484">
        <v>1483</v>
      </c>
      <c r="E484" s="4">
        <v>45778</v>
      </c>
      <c r="F484" t="s">
        <v>15</v>
      </c>
      <c r="G484" t="s">
        <v>24</v>
      </c>
      <c r="H484" t="s">
        <v>12</v>
      </c>
      <c r="I484" t="s">
        <v>28</v>
      </c>
      <c r="J484">
        <v>5</v>
      </c>
      <c r="K484" s="1">
        <v>2000</v>
      </c>
      <c r="L484" s="1">
        <f>Table1[[#This Row],[Unit Price]]*Table1[[#This Row],[Units]]</f>
        <v>10000</v>
      </c>
      <c r="M484" s="1">
        <v>1845</v>
      </c>
      <c r="N484" t="s">
        <v>14</v>
      </c>
    </row>
    <row r="485" spans="4:14" x14ac:dyDescent="0.25">
      <c r="D485">
        <v>1484</v>
      </c>
      <c r="E485" s="4">
        <v>45824</v>
      </c>
      <c r="F485" t="s">
        <v>27</v>
      </c>
      <c r="G485" t="s">
        <v>11</v>
      </c>
      <c r="H485" t="s">
        <v>35</v>
      </c>
      <c r="I485" t="s">
        <v>28</v>
      </c>
      <c r="J485">
        <v>8</v>
      </c>
      <c r="K485" s="1">
        <v>2000</v>
      </c>
      <c r="L485" s="1">
        <f>Table1[[#This Row],[Unit Price]]*Table1[[#This Row],[Units]]</f>
        <v>16000</v>
      </c>
      <c r="M485" s="1">
        <v>3687</v>
      </c>
      <c r="N485" t="s">
        <v>14</v>
      </c>
    </row>
    <row r="486" spans="4:14" x14ac:dyDescent="0.25">
      <c r="D486">
        <v>1485</v>
      </c>
      <c r="E486" s="4">
        <v>45735</v>
      </c>
      <c r="F486" t="s">
        <v>23</v>
      </c>
      <c r="G486" t="s">
        <v>11</v>
      </c>
      <c r="H486" t="s">
        <v>33</v>
      </c>
      <c r="I486" t="s">
        <v>13</v>
      </c>
      <c r="J486">
        <v>9</v>
      </c>
      <c r="K486" s="1">
        <v>800</v>
      </c>
      <c r="L486" s="1">
        <f>Table1[[#This Row],[Unit Price]]*Table1[[#This Row],[Units]]</f>
        <v>7200</v>
      </c>
      <c r="M486" s="1">
        <v>2274</v>
      </c>
      <c r="N486" t="s">
        <v>14</v>
      </c>
    </row>
    <row r="487" spans="4:14" x14ac:dyDescent="0.25">
      <c r="D487">
        <v>1486</v>
      </c>
      <c r="E487" s="4">
        <v>45831</v>
      </c>
      <c r="F487" t="s">
        <v>27</v>
      </c>
      <c r="G487" t="s">
        <v>29</v>
      </c>
      <c r="H487" t="s">
        <v>25</v>
      </c>
      <c r="I487" t="s">
        <v>28</v>
      </c>
      <c r="J487">
        <v>5</v>
      </c>
      <c r="K487" s="1">
        <v>2000</v>
      </c>
      <c r="L487" s="1">
        <f>Table1[[#This Row],[Unit Price]]*Table1[[#This Row],[Units]]</f>
        <v>10000</v>
      </c>
      <c r="M487" s="1">
        <v>1742</v>
      </c>
      <c r="N487" t="s">
        <v>14</v>
      </c>
    </row>
    <row r="488" spans="4:14" x14ac:dyDescent="0.25">
      <c r="D488">
        <v>1487</v>
      </c>
      <c r="E488" s="4">
        <v>45769</v>
      </c>
      <c r="F488" t="s">
        <v>20</v>
      </c>
      <c r="G488" t="s">
        <v>29</v>
      </c>
      <c r="H488" t="s">
        <v>12</v>
      </c>
      <c r="I488" t="s">
        <v>18</v>
      </c>
      <c r="J488">
        <v>2</v>
      </c>
      <c r="K488" s="1">
        <v>60000</v>
      </c>
      <c r="L488" s="1">
        <f>Table1[[#This Row],[Unit Price]]*Table1[[#This Row],[Units]]</f>
        <v>120000</v>
      </c>
      <c r="M488" s="1">
        <v>21057</v>
      </c>
      <c r="N488" t="s">
        <v>26</v>
      </c>
    </row>
    <row r="489" spans="4:14" x14ac:dyDescent="0.25">
      <c r="D489">
        <v>1488</v>
      </c>
      <c r="E489" s="4">
        <v>45689</v>
      </c>
      <c r="F489" t="s">
        <v>32</v>
      </c>
      <c r="G489" t="s">
        <v>29</v>
      </c>
      <c r="H489" t="s">
        <v>12</v>
      </c>
      <c r="I489" t="s">
        <v>18</v>
      </c>
      <c r="J489">
        <v>7</v>
      </c>
      <c r="K489" s="1">
        <v>60000</v>
      </c>
      <c r="L489" s="1">
        <f>Table1[[#This Row],[Unit Price]]*Table1[[#This Row],[Units]]</f>
        <v>420000</v>
      </c>
      <c r="M489" s="1">
        <v>141168</v>
      </c>
      <c r="N489" t="s">
        <v>19</v>
      </c>
    </row>
    <row r="490" spans="4:14" x14ac:dyDescent="0.25">
      <c r="D490">
        <v>1489</v>
      </c>
      <c r="E490" s="4">
        <v>45667</v>
      </c>
      <c r="F490" t="s">
        <v>10</v>
      </c>
      <c r="G490" t="s">
        <v>24</v>
      </c>
      <c r="H490" t="s">
        <v>21</v>
      </c>
      <c r="I490" t="s">
        <v>34</v>
      </c>
      <c r="J490">
        <v>7</v>
      </c>
      <c r="K490" s="1">
        <v>30000</v>
      </c>
      <c r="L490" s="1">
        <f>Table1[[#This Row],[Unit Price]]*Table1[[#This Row],[Units]]</f>
        <v>210000</v>
      </c>
      <c r="M490" s="1">
        <v>48668</v>
      </c>
      <c r="N490" t="s">
        <v>19</v>
      </c>
    </row>
    <row r="491" spans="4:14" x14ac:dyDescent="0.25">
      <c r="D491">
        <v>1490</v>
      </c>
      <c r="E491" s="4">
        <v>45693</v>
      </c>
      <c r="F491" t="s">
        <v>32</v>
      </c>
      <c r="G491" t="s">
        <v>11</v>
      </c>
      <c r="H491" t="s">
        <v>31</v>
      </c>
      <c r="I491" t="s">
        <v>18</v>
      </c>
      <c r="J491">
        <v>8</v>
      </c>
      <c r="K491" s="1">
        <v>60000</v>
      </c>
      <c r="L491" s="1">
        <f>Table1[[#This Row],[Unit Price]]*Table1[[#This Row],[Units]]</f>
        <v>480000</v>
      </c>
      <c r="M491" s="1">
        <v>88897</v>
      </c>
      <c r="N491" t="s">
        <v>19</v>
      </c>
    </row>
    <row r="492" spans="4:14" x14ac:dyDescent="0.25">
      <c r="D492">
        <v>1491</v>
      </c>
      <c r="E492" s="4">
        <v>45779</v>
      </c>
      <c r="F492" t="s">
        <v>15</v>
      </c>
      <c r="G492" t="s">
        <v>29</v>
      </c>
      <c r="H492" t="s">
        <v>31</v>
      </c>
      <c r="I492" t="s">
        <v>18</v>
      </c>
      <c r="J492">
        <v>8</v>
      </c>
      <c r="K492" s="1">
        <v>60000</v>
      </c>
      <c r="L492" s="1">
        <f>Table1[[#This Row],[Unit Price]]*Table1[[#This Row],[Units]]</f>
        <v>480000</v>
      </c>
      <c r="M492" s="1">
        <v>92247</v>
      </c>
      <c r="N492" t="s">
        <v>19</v>
      </c>
    </row>
    <row r="493" spans="4:14" x14ac:dyDescent="0.25">
      <c r="D493">
        <v>1492</v>
      </c>
      <c r="E493" s="4">
        <v>45667</v>
      </c>
      <c r="F493" t="s">
        <v>10</v>
      </c>
      <c r="G493" t="s">
        <v>29</v>
      </c>
      <c r="H493" t="s">
        <v>25</v>
      </c>
      <c r="I493" t="s">
        <v>34</v>
      </c>
      <c r="J493">
        <v>9</v>
      </c>
      <c r="K493" s="1">
        <v>30000</v>
      </c>
      <c r="L493" s="1">
        <f>Table1[[#This Row],[Unit Price]]*Table1[[#This Row],[Units]]</f>
        <v>270000</v>
      </c>
      <c r="M493" s="1">
        <v>80113</v>
      </c>
      <c r="N493" t="s">
        <v>19</v>
      </c>
    </row>
    <row r="494" spans="4:14" x14ac:dyDescent="0.25">
      <c r="D494">
        <v>1493</v>
      </c>
      <c r="E494" s="4">
        <v>45759</v>
      </c>
      <c r="F494" t="s">
        <v>20</v>
      </c>
      <c r="G494" t="s">
        <v>29</v>
      </c>
      <c r="H494" t="s">
        <v>17</v>
      </c>
      <c r="I494" t="s">
        <v>13</v>
      </c>
      <c r="J494">
        <v>8</v>
      </c>
      <c r="K494" s="1">
        <v>800</v>
      </c>
      <c r="L494" s="1">
        <f>Table1[[#This Row],[Unit Price]]*Table1[[#This Row],[Units]]</f>
        <v>6400</v>
      </c>
      <c r="M494" s="1">
        <v>1961</v>
      </c>
      <c r="N494" t="s">
        <v>14</v>
      </c>
    </row>
    <row r="495" spans="4:14" x14ac:dyDescent="0.25">
      <c r="D495">
        <v>1494</v>
      </c>
      <c r="E495" s="4">
        <v>45804</v>
      </c>
      <c r="F495" t="s">
        <v>15</v>
      </c>
      <c r="G495" t="s">
        <v>16</v>
      </c>
      <c r="H495" t="s">
        <v>21</v>
      </c>
      <c r="I495" t="s">
        <v>18</v>
      </c>
      <c r="J495">
        <v>4</v>
      </c>
      <c r="K495" s="1">
        <v>60000</v>
      </c>
      <c r="L495" s="1">
        <f>Table1[[#This Row],[Unit Price]]*Table1[[#This Row],[Units]]</f>
        <v>240000</v>
      </c>
      <c r="M495" s="1">
        <v>47576</v>
      </c>
      <c r="N495" t="s">
        <v>19</v>
      </c>
    </row>
    <row r="496" spans="4:14" x14ac:dyDescent="0.25">
      <c r="D496">
        <v>1495</v>
      </c>
      <c r="E496" s="4">
        <v>45676</v>
      </c>
      <c r="F496" t="s">
        <v>10</v>
      </c>
      <c r="G496" t="s">
        <v>29</v>
      </c>
      <c r="H496" t="s">
        <v>30</v>
      </c>
      <c r="I496" t="s">
        <v>34</v>
      </c>
      <c r="J496">
        <v>2</v>
      </c>
      <c r="K496" s="1">
        <v>30000</v>
      </c>
      <c r="L496" s="1">
        <f>Table1[[#This Row],[Unit Price]]*Table1[[#This Row],[Units]]</f>
        <v>60000</v>
      </c>
      <c r="M496" s="1">
        <v>19597</v>
      </c>
      <c r="N496" t="s">
        <v>26</v>
      </c>
    </row>
    <row r="497" spans="4:14" x14ac:dyDescent="0.25">
      <c r="D497">
        <v>1496</v>
      </c>
      <c r="E497" s="4">
        <v>45680</v>
      </c>
      <c r="F497" t="s">
        <v>10</v>
      </c>
      <c r="G497" t="s">
        <v>24</v>
      </c>
      <c r="H497" t="s">
        <v>35</v>
      </c>
      <c r="I497" t="s">
        <v>34</v>
      </c>
      <c r="J497">
        <v>8</v>
      </c>
      <c r="K497" s="1">
        <v>30000</v>
      </c>
      <c r="L497" s="1">
        <f>Table1[[#This Row],[Unit Price]]*Table1[[#This Row],[Units]]</f>
        <v>240000</v>
      </c>
      <c r="M497" s="1">
        <v>43662</v>
      </c>
      <c r="N497" t="s">
        <v>19</v>
      </c>
    </row>
    <row r="498" spans="4:14" x14ac:dyDescent="0.25">
      <c r="D498">
        <v>1497</v>
      </c>
      <c r="E498" s="4">
        <v>45674</v>
      </c>
      <c r="F498" t="s">
        <v>10</v>
      </c>
      <c r="G498" t="s">
        <v>16</v>
      </c>
      <c r="H498" t="s">
        <v>35</v>
      </c>
      <c r="I498" t="s">
        <v>28</v>
      </c>
      <c r="J498">
        <v>6</v>
      </c>
      <c r="K498" s="1">
        <v>2000</v>
      </c>
      <c r="L498" s="1">
        <f>Table1[[#This Row],[Unit Price]]*Table1[[#This Row],[Units]]</f>
        <v>12000</v>
      </c>
      <c r="M498" s="1">
        <v>4171</v>
      </c>
      <c r="N498" t="s">
        <v>14</v>
      </c>
    </row>
    <row r="499" spans="4:14" x14ac:dyDescent="0.25">
      <c r="D499">
        <v>1498</v>
      </c>
      <c r="E499" s="4">
        <v>45658</v>
      </c>
      <c r="F499" t="s">
        <v>10</v>
      </c>
      <c r="G499" t="s">
        <v>24</v>
      </c>
      <c r="H499" t="s">
        <v>25</v>
      </c>
      <c r="I499" t="s">
        <v>34</v>
      </c>
      <c r="J499">
        <v>7</v>
      </c>
      <c r="K499" s="1">
        <v>30000</v>
      </c>
      <c r="L499" s="1">
        <f>Table1[[#This Row],[Unit Price]]*Table1[[#This Row],[Units]]</f>
        <v>210000</v>
      </c>
      <c r="M499" s="1">
        <v>65975</v>
      </c>
      <c r="N499" t="s">
        <v>19</v>
      </c>
    </row>
    <row r="500" spans="4:14" x14ac:dyDescent="0.25">
      <c r="D500">
        <v>1499</v>
      </c>
      <c r="E500" s="4">
        <v>45738</v>
      </c>
      <c r="F500" t="s">
        <v>23</v>
      </c>
      <c r="G500" t="s">
        <v>29</v>
      </c>
      <c r="H500" t="s">
        <v>35</v>
      </c>
      <c r="I500" t="s">
        <v>28</v>
      </c>
      <c r="J500">
        <v>3</v>
      </c>
      <c r="K500" s="1">
        <v>2000</v>
      </c>
      <c r="L500" s="1">
        <f>Table1[[#This Row],[Unit Price]]*Table1[[#This Row],[Units]]</f>
        <v>6000</v>
      </c>
      <c r="M500" s="1">
        <v>1686</v>
      </c>
      <c r="N500" t="s">
        <v>14</v>
      </c>
    </row>
    <row r="501" spans="4:14" x14ac:dyDescent="0.25">
      <c r="D501">
        <v>1500</v>
      </c>
      <c r="E501" s="4">
        <v>45791</v>
      </c>
      <c r="F501" t="s">
        <v>15</v>
      </c>
      <c r="G501" t="s">
        <v>11</v>
      </c>
      <c r="H501" t="s">
        <v>30</v>
      </c>
      <c r="I501" t="s">
        <v>28</v>
      </c>
      <c r="J501">
        <v>8</v>
      </c>
      <c r="K501" s="1">
        <v>2000</v>
      </c>
      <c r="L501" s="1">
        <f>Table1[[#This Row],[Unit Price]]*Table1[[#This Row],[Units]]</f>
        <v>16000</v>
      </c>
      <c r="M501" s="1">
        <v>2460</v>
      </c>
      <c r="N501" t="s">
        <v>14</v>
      </c>
    </row>
    <row r="502" spans="4:14" x14ac:dyDescent="0.25">
      <c r="D502">
        <v>1501</v>
      </c>
      <c r="E502" s="4">
        <v>45742</v>
      </c>
      <c r="F502" t="s">
        <v>23</v>
      </c>
      <c r="G502" t="s">
        <v>16</v>
      </c>
      <c r="H502" t="s">
        <v>30</v>
      </c>
      <c r="I502" t="s">
        <v>28</v>
      </c>
      <c r="J502">
        <v>10</v>
      </c>
      <c r="K502" s="1">
        <v>2000</v>
      </c>
      <c r="L502" s="1">
        <f>Table1[[#This Row],[Unit Price]]*Table1[[#This Row],[Units]]</f>
        <v>20000</v>
      </c>
      <c r="M502" s="1">
        <v>6532</v>
      </c>
      <c r="N502" t="s">
        <v>14</v>
      </c>
    </row>
    <row r="503" spans="4:14" x14ac:dyDescent="0.25">
      <c r="D503">
        <v>1502</v>
      </c>
      <c r="E503" s="4">
        <v>45723</v>
      </c>
      <c r="F503" t="s">
        <v>23</v>
      </c>
      <c r="G503" t="s">
        <v>16</v>
      </c>
      <c r="H503" t="s">
        <v>35</v>
      </c>
      <c r="I503" t="s">
        <v>18</v>
      </c>
      <c r="J503">
        <v>1</v>
      </c>
      <c r="K503" s="1">
        <v>60000</v>
      </c>
      <c r="L503" s="1">
        <f>Table1[[#This Row],[Unit Price]]*Table1[[#This Row],[Units]]</f>
        <v>60000</v>
      </c>
      <c r="M503" s="1">
        <v>18346</v>
      </c>
      <c r="N503" t="s">
        <v>26</v>
      </c>
    </row>
    <row r="504" spans="4:14" x14ac:dyDescent="0.25">
      <c r="D504">
        <v>1503</v>
      </c>
      <c r="E504" s="4">
        <v>45688</v>
      </c>
      <c r="F504" t="s">
        <v>10</v>
      </c>
      <c r="G504" t="s">
        <v>29</v>
      </c>
      <c r="H504" t="s">
        <v>12</v>
      </c>
      <c r="I504" t="s">
        <v>18</v>
      </c>
      <c r="J504">
        <v>5</v>
      </c>
      <c r="K504" s="1">
        <v>60000</v>
      </c>
      <c r="L504" s="1">
        <f>Table1[[#This Row],[Unit Price]]*Table1[[#This Row],[Units]]</f>
        <v>300000</v>
      </c>
      <c r="M504" s="1">
        <v>98690</v>
      </c>
      <c r="N504" t="s">
        <v>19</v>
      </c>
    </row>
    <row r="505" spans="4:14" x14ac:dyDescent="0.25">
      <c r="D505">
        <v>1504</v>
      </c>
      <c r="E505" s="4">
        <v>45734</v>
      </c>
      <c r="F505" t="s">
        <v>23</v>
      </c>
      <c r="G505" t="s">
        <v>16</v>
      </c>
      <c r="H505" t="s">
        <v>35</v>
      </c>
      <c r="I505" t="s">
        <v>28</v>
      </c>
      <c r="J505">
        <v>7</v>
      </c>
      <c r="K505" s="1">
        <v>2000</v>
      </c>
      <c r="L505" s="1">
        <f>Table1[[#This Row],[Unit Price]]*Table1[[#This Row],[Units]]</f>
        <v>14000</v>
      </c>
      <c r="M505" s="1">
        <v>4159</v>
      </c>
      <c r="N505" t="s">
        <v>14</v>
      </c>
    </row>
    <row r="506" spans="4:14" x14ac:dyDescent="0.25">
      <c r="D506">
        <v>1505</v>
      </c>
      <c r="E506" s="4">
        <v>45792</v>
      </c>
      <c r="F506" t="s">
        <v>15</v>
      </c>
      <c r="G506" t="s">
        <v>11</v>
      </c>
      <c r="H506" t="s">
        <v>12</v>
      </c>
      <c r="I506" t="s">
        <v>13</v>
      </c>
      <c r="J506">
        <v>8</v>
      </c>
      <c r="K506" s="1">
        <v>800</v>
      </c>
      <c r="L506" s="1">
        <f>Table1[[#This Row],[Unit Price]]*Table1[[#This Row],[Units]]</f>
        <v>6400</v>
      </c>
      <c r="M506" s="1">
        <v>1426</v>
      </c>
      <c r="N506" t="s">
        <v>14</v>
      </c>
    </row>
    <row r="507" spans="4:14" x14ac:dyDescent="0.25">
      <c r="D507">
        <v>1506</v>
      </c>
      <c r="E507" s="4">
        <v>45782</v>
      </c>
      <c r="F507" t="s">
        <v>15</v>
      </c>
      <c r="G507" t="s">
        <v>29</v>
      </c>
      <c r="H507" t="s">
        <v>17</v>
      </c>
      <c r="I507" t="s">
        <v>34</v>
      </c>
      <c r="J507">
        <v>2</v>
      </c>
      <c r="K507" s="1">
        <v>30000</v>
      </c>
      <c r="L507" s="1">
        <f>Table1[[#This Row],[Unit Price]]*Table1[[#This Row],[Units]]</f>
        <v>60000</v>
      </c>
      <c r="M507" s="1">
        <v>18574</v>
      </c>
      <c r="N507" t="s">
        <v>26</v>
      </c>
    </row>
    <row r="508" spans="4:14" x14ac:dyDescent="0.25">
      <c r="D508">
        <v>1507</v>
      </c>
      <c r="E508" s="4">
        <v>45667</v>
      </c>
      <c r="F508" t="s">
        <v>10</v>
      </c>
      <c r="G508" t="s">
        <v>29</v>
      </c>
      <c r="H508" t="s">
        <v>30</v>
      </c>
      <c r="I508" t="s">
        <v>22</v>
      </c>
      <c r="J508">
        <v>10</v>
      </c>
      <c r="K508" s="1">
        <v>15000</v>
      </c>
      <c r="L508" s="1">
        <f>Table1[[#This Row],[Unit Price]]*Table1[[#This Row],[Units]]</f>
        <v>150000</v>
      </c>
      <c r="M508" s="1">
        <v>25397</v>
      </c>
      <c r="N508" t="s">
        <v>26</v>
      </c>
    </row>
    <row r="509" spans="4:14" x14ac:dyDescent="0.25">
      <c r="D509">
        <v>1508</v>
      </c>
      <c r="E509" s="4">
        <v>45791</v>
      </c>
      <c r="F509" t="s">
        <v>15</v>
      </c>
      <c r="G509" t="s">
        <v>24</v>
      </c>
      <c r="H509" t="s">
        <v>35</v>
      </c>
      <c r="I509" t="s">
        <v>18</v>
      </c>
      <c r="J509">
        <v>10</v>
      </c>
      <c r="K509" s="1">
        <v>60000</v>
      </c>
      <c r="L509" s="1">
        <f>Table1[[#This Row],[Unit Price]]*Table1[[#This Row],[Units]]</f>
        <v>600000</v>
      </c>
      <c r="M509" s="1">
        <v>95809</v>
      </c>
      <c r="N509" t="s">
        <v>19</v>
      </c>
    </row>
    <row r="510" spans="4:14" x14ac:dyDescent="0.25">
      <c r="D510">
        <v>1509</v>
      </c>
      <c r="E510" s="4">
        <v>45691</v>
      </c>
      <c r="F510" t="s">
        <v>32</v>
      </c>
      <c r="G510" t="s">
        <v>11</v>
      </c>
      <c r="H510" t="s">
        <v>17</v>
      </c>
      <c r="I510" t="s">
        <v>34</v>
      </c>
      <c r="J510">
        <v>7</v>
      </c>
      <c r="K510" s="1">
        <v>30000</v>
      </c>
      <c r="L510" s="1">
        <f>Table1[[#This Row],[Unit Price]]*Table1[[#This Row],[Units]]</f>
        <v>210000</v>
      </c>
      <c r="M510" s="1">
        <v>54007</v>
      </c>
      <c r="N510" t="s">
        <v>19</v>
      </c>
    </row>
    <row r="511" spans="4:14" x14ac:dyDescent="0.25">
      <c r="D511">
        <v>1510</v>
      </c>
      <c r="E511" s="4">
        <v>45820</v>
      </c>
      <c r="F511" t="s">
        <v>27</v>
      </c>
      <c r="G511" t="s">
        <v>29</v>
      </c>
      <c r="H511" t="s">
        <v>25</v>
      </c>
      <c r="I511" t="s">
        <v>18</v>
      </c>
      <c r="J511">
        <v>10</v>
      </c>
      <c r="K511" s="1">
        <v>60000</v>
      </c>
      <c r="L511" s="1">
        <f>Table1[[#This Row],[Unit Price]]*Table1[[#This Row],[Units]]</f>
        <v>600000</v>
      </c>
      <c r="M511" s="1">
        <v>116405</v>
      </c>
      <c r="N511" t="s">
        <v>19</v>
      </c>
    </row>
    <row r="512" spans="4:14" x14ac:dyDescent="0.25">
      <c r="D512">
        <v>1511</v>
      </c>
      <c r="E512" s="4">
        <v>45756</v>
      </c>
      <c r="F512" t="s">
        <v>20</v>
      </c>
      <c r="G512" t="s">
        <v>24</v>
      </c>
      <c r="H512" t="s">
        <v>12</v>
      </c>
      <c r="I512" t="s">
        <v>18</v>
      </c>
      <c r="J512">
        <v>3</v>
      </c>
      <c r="K512" s="1">
        <v>60000</v>
      </c>
      <c r="L512" s="1">
        <f>Table1[[#This Row],[Unit Price]]*Table1[[#This Row],[Units]]</f>
        <v>180000</v>
      </c>
      <c r="M512" s="1">
        <v>38868</v>
      </c>
      <c r="N512" t="s">
        <v>26</v>
      </c>
    </row>
    <row r="513" spans="4:14" x14ac:dyDescent="0.25">
      <c r="D513">
        <v>1512</v>
      </c>
      <c r="E513" s="4">
        <v>45665</v>
      </c>
      <c r="F513" t="s">
        <v>10</v>
      </c>
      <c r="G513" t="s">
        <v>16</v>
      </c>
      <c r="H513" t="s">
        <v>17</v>
      </c>
      <c r="I513" t="s">
        <v>28</v>
      </c>
      <c r="J513">
        <v>3</v>
      </c>
      <c r="K513" s="1">
        <v>2000</v>
      </c>
      <c r="L513" s="1">
        <f>Table1[[#This Row],[Unit Price]]*Table1[[#This Row],[Units]]</f>
        <v>6000</v>
      </c>
      <c r="M513" s="1">
        <v>2015</v>
      </c>
      <c r="N513" t="s">
        <v>14</v>
      </c>
    </row>
    <row r="514" spans="4:14" x14ac:dyDescent="0.25">
      <c r="D514">
        <v>1513</v>
      </c>
      <c r="E514" s="4">
        <v>45687</v>
      </c>
      <c r="F514" t="s">
        <v>10</v>
      </c>
      <c r="G514" t="s">
        <v>16</v>
      </c>
      <c r="H514" t="s">
        <v>35</v>
      </c>
      <c r="I514" t="s">
        <v>22</v>
      </c>
      <c r="J514">
        <v>9</v>
      </c>
      <c r="K514" s="1">
        <v>15000</v>
      </c>
      <c r="L514" s="1">
        <f>Table1[[#This Row],[Unit Price]]*Table1[[#This Row],[Units]]</f>
        <v>135000</v>
      </c>
      <c r="M514" s="1">
        <v>43470</v>
      </c>
      <c r="N514" t="s">
        <v>26</v>
      </c>
    </row>
    <row r="515" spans="4:14" x14ac:dyDescent="0.25">
      <c r="D515">
        <v>1514</v>
      </c>
      <c r="E515" s="4">
        <v>45765</v>
      </c>
      <c r="F515" t="s">
        <v>20</v>
      </c>
      <c r="G515" t="s">
        <v>16</v>
      </c>
      <c r="H515" t="s">
        <v>12</v>
      </c>
      <c r="I515" t="s">
        <v>34</v>
      </c>
      <c r="J515">
        <v>4</v>
      </c>
      <c r="K515" s="1">
        <v>30000</v>
      </c>
      <c r="L515" s="1">
        <f>Table1[[#This Row],[Unit Price]]*Table1[[#This Row],[Units]]</f>
        <v>120000</v>
      </c>
      <c r="M515" s="1">
        <v>29640</v>
      </c>
      <c r="N515" t="s">
        <v>26</v>
      </c>
    </row>
    <row r="516" spans="4:14" x14ac:dyDescent="0.25">
      <c r="D516">
        <v>1515</v>
      </c>
      <c r="E516" s="4">
        <v>45687</v>
      </c>
      <c r="F516" t="s">
        <v>10</v>
      </c>
      <c r="G516" t="s">
        <v>16</v>
      </c>
      <c r="H516" t="s">
        <v>25</v>
      </c>
      <c r="I516" t="s">
        <v>28</v>
      </c>
      <c r="J516">
        <v>5</v>
      </c>
      <c r="K516" s="1">
        <v>2000</v>
      </c>
      <c r="L516" s="1">
        <f>Table1[[#This Row],[Unit Price]]*Table1[[#This Row],[Units]]</f>
        <v>10000</v>
      </c>
      <c r="M516" s="1">
        <v>2036</v>
      </c>
      <c r="N516" t="s">
        <v>14</v>
      </c>
    </row>
    <row r="517" spans="4:14" x14ac:dyDescent="0.25">
      <c r="D517">
        <v>1516</v>
      </c>
      <c r="E517" s="4">
        <v>45830</v>
      </c>
      <c r="F517" t="s">
        <v>27</v>
      </c>
      <c r="G517" t="s">
        <v>29</v>
      </c>
      <c r="H517" t="s">
        <v>33</v>
      </c>
      <c r="I517" t="s">
        <v>34</v>
      </c>
      <c r="J517">
        <v>8</v>
      </c>
      <c r="K517" s="1">
        <v>30000</v>
      </c>
      <c r="L517" s="1">
        <f>Table1[[#This Row],[Unit Price]]*Table1[[#This Row],[Units]]</f>
        <v>240000</v>
      </c>
      <c r="M517" s="1">
        <v>67801</v>
      </c>
      <c r="N517" t="s">
        <v>19</v>
      </c>
    </row>
    <row r="518" spans="4:14" x14ac:dyDescent="0.25">
      <c r="D518">
        <v>1517</v>
      </c>
      <c r="E518" s="4">
        <v>45687</v>
      </c>
      <c r="F518" t="s">
        <v>10</v>
      </c>
      <c r="G518" t="s">
        <v>24</v>
      </c>
      <c r="H518" t="s">
        <v>21</v>
      </c>
      <c r="I518" t="s">
        <v>28</v>
      </c>
      <c r="J518">
        <v>4</v>
      </c>
      <c r="K518" s="1">
        <v>2000</v>
      </c>
      <c r="L518" s="1">
        <f>Table1[[#This Row],[Unit Price]]*Table1[[#This Row],[Units]]</f>
        <v>8000</v>
      </c>
      <c r="M518" s="1">
        <v>2568</v>
      </c>
      <c r="N518" t="s">
        <v>14</v>
      </c>
    </row>
    <row r="519" spans="4:14" x14ac:dyDescent="0.25">
      <c r="D519">
        <v>1518</v>
      </c>
      <c r="E519" s="4">
        <v>45782</v>
      </c>
      <c r="F519" t="s">
        <v>15</v>
      </c>
      <c r="G519" t="s">
        <v>29</v>
      </c>
      <c r="H519" t="s">
        <v>33</v>
      </c>
      <c r="I519" t="s">
        <v>13</v>
      </c>
      <c r="J519">
        <v>7</v>
      </c>
      <c r="K519" s="1">
        <v>800</v>
      </c>
      <c r="L519" s="1">
        <f>Table1[[#This Row],[Unit Price]]*Table1[[#This Row],[Units]]</f>
        <v>5600</v>
      </c>
      <c r="M519" s="1">
        <v>1541</v>
      </c>
      <c r="N519" t="s">
        <v>14</v>
      </c>
    </row>
    <row r="520" spans="4:14" x14ac:dyDescent="0.25">
      <c r="D520">
        <v>1519</v>
      </c>
      <c r="E520" s="4">
        <v>45721</v>
      </c>
      <c r="F520" t="s">
        <v>23</v>
      </c>
      <c r="G520" t="s">
        <v>29</v>
      </c>
      <c r="H520" t="s">
        <v>31</v>
      </c>
      <c r="I520" t="s">
        <v>18</v>
      </c>
      <c r="J520">
        <v>6</v>
      </c>
      <c r="K520" s="1">
        <v>60000</v>
      </c>
      <c r="L520" s="1">
        <f>Table1[[#This Row],[Unit Price]]*Table1[[#This Row],[Units]]</f>
        <v>360000</v>
      </c>
      <c r="M520" s="1">
        <v>108011</v>
      </c>
      <c r="N520" t="s">
        <v>19</v>
      </c>
    </row>
    <row r="521" spans="4:14" x14ac:dyDescent="0.25">
      <c r="D521">
        <v>1520</v>
      </c>
      <c r="E521" s="4">
        <v>45789</v>
      </c>
      <c r="F521" t="s">
        <v>15</v>
      </c>
      <c r="G521" t="s">
        <v>29</v>
      </c>
      <c r="H521" t="s">
        <v>25</v>
      </c>
      <c r="I521" t="s">
        <v>28</v>
      </c>
      <c r="J521">
        <v>8</v>
      </c>
      <c r="K521" s="1">
        <v>2000</v>
      </c>
      <c r="L521" s="1">
        <f>Table1[[#This Row],[Unit Price]]*Table1[[#This Row],[Units]]</f>
        <v>16000</v>
      </c>
      <c r="M521" s="1">
        <v>2855</v>
      </c>
      <c r="N521" t="s">
        <v>14</v>
      </c>
    </row>
    <row r="522" spans="4:14" x14ac:dyDescent="0.25">
      <c r="D522">
        <v>1521</v>
      </c>
      <c r="E522" s="4">
        <v>45664</v>
      </c>
      <c r="F522" t="s">
        <v>10</v>
      </c>
      <c r="G522" t="s">
        <v>11</v>
      </c>
      <c r="H522" t="s">
        <v>35</v>
      </c>
      <c r="I522" t="s">
        <v>34</v>
      </c>
      <c r="J522">
        <v>3</v>
      </c>
      <c r="K522" s="1">
        <v>30000</v>
      </c>
      <c r="L522" s="1">
        <f>Table1[[#This Row],[Unit Price]]*Table1[[#This Row],[Units]]</f>
        <v>90000</v>
      </c>
      <c r="M522" s="1">
        <v>29364</v>
      </c>
      <c r="N522" t="s">
        <v>26</v>
      </c>
    </row>
    <row r="523" spans="4:14" x14ac:dyDescent="0.25">
      <c r="D523">
        <v>1522</v>
      </c>
      <c r="E523" s="4">
        <v>45676</v>
      </c>
      <c r="F523" t="s">
        <v>10</v>
      </c>
      <c r="G523" t="s">
        <v>29</v>
      </c>
      <c r="H523" t="s">
        <v>33</v>
      </c>
      <c r="I523" t="s">
        <v>28</v>
      </c>
      <c r="J523">
        <v>10</v>
      </c>
      <c r="K523" s="1">
        <v>2000</v>
      </c>
      <c r="L523" s="1">
        <f>Table1[[#This Row],[Unit Price]]*Table1[[#This Row],[Units]]</f>
        <v>20000</v>
      </c>
      <c r="M523" s="1">
        <v>5284</v>
      </c>
      <c r="N523" t="s">
        <v>14</v>
      </c>
    </row>
    <row r="524" spans="4:14" x14ac:dyDescent="0.25">
      <c r="D524">
        <v>1523</v>
      </c>
      <c r="E524" s="4">
        <v>45805</v>
      </c>
      <c r="F524" t="s">
        <v>15</v>
      </c>
      <c r="G524" t="s">
        <v>29</v>
      </c>
      <c r="H524" t="s">
        <v>30</v>
      </c>
      <c r="I524" t="s">
        <v>22</v>
      </c>
      <c r="J524">
        <v>5</v>
      </c>
      <c r="K524" s="1">
        <v>15000</v>
      </c>
      <c r="L524" s="1">
        <f>Table1[[#This Row],[Unit Price]]*Table1[[#This Row],[Units]]</f>
        <v>75000</v>
      </c>
      <c r="M524" s="1">
        <v>24428</v>
      </c>
      <c r="N524" t="s">
        <v>26</v>
      </c>
    </row>
    <row r="525" spans="4:14" x14ac:dyDescent="0.25">
      <c r="D525">
        <v>1524</v>
      </c>
      <c r="E525" s="4">
        <v>45665</v>
      </c>
      <c r="F525" t="s">
        <v>10</v>
      </c>
      <c r="G525" t="s">
        <v>24</v>
      </c>
      <c r="H525" t="s">
        <v>17</v>
      </c>
      <c r="I525" t="s">
        <v>34</v>
      </c>
      <c r="J525">
        <v>10</v>
      </c>
      <c r="K525" s="1">
        <v>30000</v>
      </c>
      <c r="L525" s="1">
        <f>Table1[[#This Row],[Unit Price]]*Table1[[#This Row],[Units]]</f>
        <v>300000</v>
      </c>
      <c r="M525" s="1">
        <v>50057</v>
      </c>
      <c r="N525" t="s">
        <v>19</v>
      </c>
    </row>
    <row r="526" spans="4:14" x14ac:dyDescent="0.25">
      <c r="D526">
        <v>1525</v>
      </c>
      <c r="E526" s="4">
        <v>45799</v>
      </c>
      <c r="F526" t="s">
        <v>15</v>
      </c>
      <c r="G526" t="s">
        <v>29</v>
      </c>
      <c r="H526" t="s">
        <v>33</v>
      </c>
      <c r="I526" t="s">
        <v>28</v>
      </c>
      <c r="J526">
        <v>4</v>
      </c>
      <c r="K526" s="1">
        <v>2000</v>
      </c>
      <c r="L526" s="1">
        <f>Table1[[#This Row],[Unit Price]]*Table1[[#This Row],[Units]]</f>
        <v>8000</v>
      </c>
      <c r="M526" s="1">
        <v>2480</v>
      </c>
      <c r="N526" t="s">
        <v>14</v>
      </c>
    </row>
    <row r="527" spans="4:14" x14ac:dyDescent="0.25">
      <c r="D527">
        <v>1526</v>
      </c>
      <c r="E527" s="4">
        <v>45808</v>
      </c>
      <c r="F527" t="s">
        <v>15</v>
      </c>
      <c r="G527" t="s">
        <v>24</v>
      </c>
      <c r="H527" t="s">
        <v>35</v>
      </c>
      <c r="I527" t="s">
        <v>13</v>
      </c>
      <c r="J527">
        <v>10</v>
      </c>
      <c r="K527" s="1">
        <v>800</v>
      </c>
      <c r="L527" s="1">
        <f>Table1[[#This Row],[Unit Price]]*Table1[[#This Row],[Units]]</f>
        <v>8000</v>
      </c>
      <c r="M527" s="1">
        <v>2201</v>
      </c>
      <c r="N527" t="s">
        <v>14</v>
      </c>
    </row>
    <row r="528" spans="4:14" x14ac:dyDescent="0.25">
      <c r="D528">
        <v>1527</v>
      </c>
      <c r="E528" s="4">
        <v>45743</v>
      </c>
      <c r="F528" t="s">
        <v>23</v>
      </c>
      <c r="G528" t="s">
        <v>16</v>
      </c>
      <c r="H528" t="s">
        <v>33</v>
      </c>
      <c r="I528" t="s">
        <v>22</v>
      </c>
      <c r="J528">
        <v>2</v>
      </c>
      <c r="K528" s="1">
        <v>15000</v>
      </c>
      <c r="L528" s="1">
        <f>Table1[[#This Row],[Unit Price]]*Table1[[#This Row],[Units]]</f>
        <v>30000</v>
      </c>
      <c r="M528" s="1">
        <v>10047</v>
      </c>
      <c r="N528" t="s">
        <v>14</v>
      </c>
    </row>
    <row r="529" spans="4:14" x14ac:dyDescent="0.25">
      <c r="D529">
        <v>1528</v>
      </c>
      <c r="E529" s="4">
        <v>45746</v>
      </c>
      <c r="F529" t="s">
        <v>23</v>
      </c>
      <c r="G529" t="s">
        <v>24</v>
      </c>
      <c r="H529" t="s">
        <v>21</v>
      </c>
      <c r="I529" t="s">
        <v>34</v>
      </c>
      <c r="J529">
        <v>3</v>
      </c>
      <c r="K529" s="1">
        <v>30000</v>
      </c>
      <c r="L529" s="1">
        <f>Table1[[#This Row],[Unit Price]]*Table1[[#This Row],[Units]]</f>
        <v>90000</v>
      </c>
      <c r="M529" s="1">
        <v>19132</v>
      </c>
      <c r="N529" t="s">
        <v>26</v>
      </c>
    </row>
    <row r="530" spans="4:14" x14ac:dyDescent="0.25">
      <c r="D530">
        <v>1529</v>
      </c>
      <c r="E530" s="4">
        <v>45708</v>
      </c>
      <c r="F530" t="s">
        <v>32</v>
      </c>
      <c r="G530" t="s">
        <v>29</v>
      </c>
      <c r="H530" t="s">
        <v>33</v>
      </c>
      <c r="I530" t="s">
        <v>13</v>
      </c>
      <c r="J530">
        <v>2</v>
      </c>
      <c r="K530" s="1">
        <v>800</v>
      </c>
      <c r="L530" s="1">
        <f>Table1[[#This Row],[Unit Price]]*Table1[[#This Row],[Units]]</f>
        <v>1600</v>
      </c>
      <c r="M530" s="1">
        <v>498</v>
      </c>
      <c r="N530" t="s">
        <v>14</v>
      </c>
    </row>
    <row r="531" spans="4:14" x14ac:dyDescent="0.25">
      <c r="D531">
        <v>1530</v>
      </c>
      <c r="E531" s="4">
        <v>45726</v>
      </c>
      <c r="F531" t="s">
        <v>23</v>
      </c>
      <c r="G531" t="s">
        <v>24</v>
      </c>
      <c r="H531" t="s">
        <v>21</v>
      </c>
      <c r="I531" t="s">
        <v>28</v>
      </c>
      <c r="J531">
        <v>7</v>
      </c>
      <c r="K531" s="1">
        <v>2000</v>
      </c>
      <c r="L531" s="1">
        <f>Table1[[#This Row],[Unit Price]]*Table1[[#This Row],[Units]]</f>
        <v>14000</v>
      </c>
      <c r="M531" s="1">
        <v>3841</v>
      </c>
      <c r="N531" t="s">
        <v>14</v>
      </c>
    </row>
    <row r="532" spans="4:14" x14ac:dyDescent="0.25">
      <c r="D532">
        <v>1531</v>
      </c>
      <c r="E532" s="4">
        <v>45767</v>
      </c>
      <c r="F532" t="s">
        <v>20</v>
      </c>
      <c r="G532" t="s">
        <v>29</v>
      </c>
      <c r="H532" t="s">
        <v>17</v>
      </c>
      <c r="I532" t="s">
        <v>13</v>
      </c>
      <c r="J532">
        <v>1</v>
      </c>
      <c r="K532" s="1">
        <v>800</v>
      </c>
      <c r="L532" s="1">
        <f>Table1[[#This Row],[Unit Price]]*Table1[[#This Row],[Units]]</f>
        <v>800</v>
      </c>
      <c r="M532" s="1">
        <v>246</v>
      </c>
      <c r="N532" t="s">
        <v>14</v>
      </c>
    </row>
    <row r="533" spans="4:14" x14ac:dyDescent="0.25">
      <c r="D533">
        <v>1532</v>
      </c>
      <c r="E533" s="4">
        <v>45748</v>
      </c>
      <c r="F533" t="s">
        <v>20</v>
      </c>
      <c r="G533" t="s">
        <v>16</v>
      </c>
      <c r="H533" t="s">
        <v>31</v>
      </c>
      <c r="I533" t="s">
        <v>22</v>
      </c>
      <c r="J533">
        <v>1</v>
      </c>
      <c r="K533" s="1">
        <v>15000</v>
      </c>
      <c r="L533" s="1">
        <f>Table1[[#This Row],[Unit Price]]*Table1[[#This Row],[Units]]</f>
        <v>15000</v>
      </c>
      <c r="M533" s="1">
        <v>3913</v>
      </c>
      <c r="N533" t="s">
        <v>14</v>
      </c>
    </row>
    <row r="534" spans="4:14" x14ac:dyDescent="0.25">
      <c r="D534">
        <v>1533</v>
      </c>
      <c r="E534" s="4">
        <v>45808</v>
      </c>
      <c r="F534" t="s">
        <v>15</v>
      </c>
      <c r="G534" t="s">
        <v>29</v>
      </c>
      <c r="H534" t="s">
        <v>17</v>
      </c>
      <c r="I534" t="s">
        <v>13</v>
      </c>
      <c r="J534">
        <v>7</v>
      </c>
      <c r="K534" s="1">
        <v>800</v>
      </c>
      <c r="L534" s="1">
        <f>Table1[[#This Row],[Unit Price]]*Table1[[#This Row],[Units]]</f>
        <v>5600</v>
      </c>
      <c r="M534" s="1">
        <v>1331</v>
      </c>
      <c r="N534" t="s">
        <v>14</v>
      </c>
    </row>
    <row r="535" spans="4:14" x14ac:dyDescent="0.25">
      <c r="D535">
        <v>1534</v>
      </c>
      <c r="E535" s="4">
        <v>45663</v>
      </c>
      <c r="F535" t="s">
        <v>10</v>
      </c>
      <c r="G535" t="s">
        <v>11</v>
      </c>
      <c r="H535" t="s">
        <v>31</v>
      </c>
      <c r="I535" t="s">
        <v>28</v>
      </c>
      <c r="J535">
        <v>6</v>
      </c>
      <c r="K535" s="1">
        <v>2000</v>
      </c>
      <c r="L535" s="1">
        <f>Table1[[#This Row],[Unit Price]]*Table1[[#This Row],[Units]]</f>
        <v>12000</v>
      </c>
      <c r="M535" s="1">
        <v>3713</v>
      </c>
      <c r="N535" t="s">
        <v>14</v>
      </c>
    </row>
    <row r="536" spans="4:14" x14ac:dyDescent="0.25">
      <c r="D536">
        <v>1535</v>
      </c>
      <c r="E536" s="4">
        <v>45785</v>
      </c>
      <c r="F536" t="s">
        <v>15</v>
      </c>
      <c r="G536" t="s">
        <v>16</v>
      </c>
      <c r="H536" t="s">
        <v>12</v>
      </c>
      <c r="I536" t="s">
        <v>13</v>
      </c>
      <c r="J536">
        <v>6</v>
      </c>
      <c r="K536" s="1">
        <v>800</v>
      </c>
      <c r="L536" s="1">
        <f>Table1[[#This Row],[Unit Price]]*Table1[[#This Row],[Units]]</f>
        <v>4800</v>
      </c>
      <c r="M536" s="1">
        <v>1091</v>
      </c>
      <c r="N536" t="s">
        <v>14</v>
      </c>
    </row>
    <row r="537" spans="4:14" x14ac:dyDescent="0.25">
      <c r="D537">
        <v>1536</v>
      </c>
      <c r="E537" s="4">
        <v>45804</v>
      </c>
      <c r="F537" t="s">
        <v>15</v>
      </c>
      <c r="G537" t="s">
        <v>16</v>
      </c>
      <c r="H537" t="s">
        <v>17</v>
      </c>
      <c r="I537" t="s">
        <v>28</v>
      </c>
      <c r="J537">
        <v>6</v>
      </c>
      <c r="K537" s="1">
        <v>2000</v>
      </c>
      <c r="L537" s="1">
        <f>Table1[[#This Row],[Unit Price]]*Table1[[#This Row],[Units]]</f>
        <v>12000</v>
      </c>
      <c r="M537" s="1">
        <v>3203</v>
      </c>
      <c r="N537" t="s">
        <v>14</v>
      </c>
    </row>
    <row r="538" spans="4:14" x14ac:dyDescent="0.25">
      <c r="D538">
        <v>1537</v>
      </c>
      <c r="E538" s="4">
        <v>45725</v>
      </c>
      <c r="F538" t="s">
        <v>23</v>
      </c>
      <c r="G538" t="s">
        <v>24</v>
      </c>
      <c r="H538" t="s">
        <v>35</v>
      </c>
      <c r="I538" t="s">
        <v>34</v>
      </c>
      <c r="J538">
        <v>10</v>
      </c>
      <c r="K538" s="1">
        <v>30000</v>
      </c>
      <c r="L538" s="1">
        <f>Table1[[#This Row],[Unit Price]]*Table1[[#This Row],[Units]]</f>
        <v>300000</v>
      </c>
      <c r="M538" s="1">
        <v>82207</v>
      </c>
      <c r="N538" t="s">
        <v>19</v>
      </c>
    </row>
    <row r="539" spans="4:14" x14ac:dyDescent="0.25">
      <c r="D539">
        <v>1538</v>
      </c>
      <c r="E539" s="4">
        <v>45674</v>
      </c>
      <c r="F539" t="s">
        <v>10</v>
      </c>
      <c r="G539" t="s">
        <v>24</v>
      </c>
      <c r="H539" t="s">
        <v>12</v>
      </c>
      <c r="I539" t="s">
        <v>13</v>
      </c>
      <c r="J539">
        <v>4</v>
      </c>
      <c r="K539" s="1">
        <v>800</v>
      </c>
      <c r="L539" s="1">
        <f>Table1[[#This Row],[Unit Price]]*Table1[[#This Row],[Units]]</f>
        <v>3200</v>
      </c>
      <c r="M539" s="1">
        <v>788</v>
      </c>
      <c r="N539" t="s">
        <v>14</v>
      </c>
    </row>
    <row r="540" spans="4:14" x14ac:dyDescent="0.25">
      <c r="D540">
        <v>1539</v>
      </c>
      <c r="E540" s="4">
        <v>45694</v>
      </c>
      <c r="F540" t="s">
        <v>32</v>
      </c>
      <c r="G540" t="s">
        <v>16</v>
      </c>
      <c r="H540" t="s">
        <v>33</v>
      </c>
      <c r="I540" t="s">
        <v>13</v>
      </c>
      <c r="J540">
        <v>2</v>
      </c>
      <c r="K540" s="1">
        <v>800</v>
      </c>
      <c r="L540" s="1">
        <f>Table1[[#This Row],[Unit Price]]*Table1[[#This Row],[Units]]</f>
        <v>1600</v>
      </c>
      <c r="M540" s="1">
        <v>323</v>
      </c>
      <c r="N540" t="s">
        <v>14</v>
      </c>
    </row>
    <row r="541" spans="4:14" x14ac:dyDescent="0.25">
      <c r="D541">
        <v>1540</v>
      </c>
      <c r="E541" s="4">
        <v>45724</v>
      </c>
      <c r="F541" t="s">
        <v>23</v>
      </c>
      <c r="G541" t="s">
        <v>11</v>
      </c>
      <c r="H541" t="s">
        <v>17</v>
      </c>
      <c r="I541" t="s">
        <v>22</v>
      </c>
      <c r="J541">
        <v>1</v>
      </c>
      <c r="K541" s="1">
        <v>15000</v>
      </c>
      <c r="L541" s="1">
        <f>Table1[[#This Row],[Unit Price]]*Table1[[#This Row],[Units]]</f>
        <v>15000</v>
      </c>
      <c r="M541" s="1">
        <v>3082</v>
      </c>
      <c r="N541" t="s">
        <v>14</v>
      </c>
    </row>
    <row r="542" spans="4:14" x14ac:dyDescent="0.25">
      <c r="D542">
        <v>1541</v>
      </c>
      <c r="E542" s="4">
        <v>45746</v>
      </c>
      <c r="F542" t="s">
        <v>23</v>
      </c>
      <c r="G542" t="s">
        <v>29</v>
      </c>
      <c r="H542" t="s">
        <v>30</v>
      </c>
      <c r="I542" t="s">
        <v>28</v>
      </c>
      <c r="J542">
        <v>5</v>
      </c>
      <c r="K542" s="1">
        <v>2000</v>
      </c>
      <c r="L542" s="1">
        <f>Table1[[#This Row],[Unit Price]]*Table1[[#This Row],[Units]]</f>
        <v>10000</v>
      </c>
      <c r="M542" s="1">
        <v>2227</v>
      </c>
      <c r="N542" t="s">
        <v>14</v>
      </c>
    </row>
    <row r="543" spans="4:14" x14ac:dyDescent="0.25">
      <c r="D543">
        <v>1542</v>
      </c>
      <c r="E543" s="4">
        <v>45834</v>
      </c>
      <c r="F543" t="s">
        <v>27</v>
      </c>
      <c r="G543" t="s">
        <v>16</v>
      </c>
      <c r="H543" t="s">
        <v>12</v>
      </c>
      <c r="I543" t="s">
        <v>28</v>
      </c>
      <c r="J543">
        <v>10</v>
      </c>
      <c r="K543" s="1">
        <v>2000</v>
      </c>
      <c r="L543" s="1">
        <f>Table1[[#This Row],[Unit Price]]*Table1[[#This Row],[Units]]</f>
        <v>20000</v>
      </c>
      <c r="M543" s="1">
        <v>3455</v>
      </c>
      <c r="N543" t="s">
        <v>14</v>
      </c>
    </row>
    <row r="544" spans="4:14" x14ac:dyDescent="0.25">
      <c r="D544">
        <v>1543</v>
      </c>
      <c r="E544" s="4">
        <v>45814</v>
      </c>
      <c r="F544" t="s">
        <v>27</v>
      </c>
      <c r="G544" t="s">
        <v>29</v>
      </c>
      <c r="H544" t="s">
        <v>33</v>
      </c>
      <c r="I544" t="s">
        <v>28</v>
      </c>
      <c r="J544">
        <v>8</v>
      </c>
      <c r="K544" s="1">
        <v>2000</v>
      </c>
      <c r="L544" s="1">
        <f>Table1[[#This Row],[Unit Price]]*Table1[[#This Row],[Units]]</f>
        <v>16000</v>
      </c>
      <c r="M544" s="1">
        <v>3480</v>
      </c>
      <c r="N544" t="s">
        <v>14</v>
      </c>
    </row>
    <row r="545" spans="4:14" x14ac:dyDescent="0.25">
      <c r="D545">
        <v>1544</v>
      </c>
      <c r="E545" s="4">
        <v>45808</v>
      </c>
      <c r="F545" t="s">
        <v>15</v>
      </c>
      <c r="G545" t="s">
        <v>29</v>
      </c>
      <c r="H545" t="s">
        <v>17</v>
      </c>
      <c r="I545" t="s">
        <v>22</v>
      </c>
      <c r="J545">
        <v>4</v>
      </c>
      <c r="K545" s="1">
        <v>15000</v>
      </c>
      <c r="L545" s="1">
        <f>Table1[[#This Row],[Unit Price]]*Table1[[#This Row],[Units]]</f>
        <v>60000</v>
      </c>
      <c r="M545" s="1">
        <v>17871</v>
      </c>
      <c r="N545" t="s">
        <v>26</v>
      </c>
    </row>
    <row r="546" spans="4:14" x14ac:dyDescent="0.25">
      <c r="D546">
        <v>1545</v>
      </c>
      <c r="E546" s="4">
        <v>45763</v>
      </c>
      <c r="F546" t="s">
        <v>20</v>
      </c>
      <c r="G546" t="s">
        <v>24</v>
      </c>
      <c r="H546" t="s">
        <v>30</v>
      </c>
      <c r="I546" t="s">
        <v>18</v>
      </c>
      <c r="J546">
        <v>6</v>
      </c>
      <c r="K546" s="1">
        <v>60000</v>
      </c>
      <c r="L546" s="1">
        <f>Table1[[#This Row],[Unit Price]]*Table1[[#This Row],[Units]]</f>
        <v>360000</v>
      </c>
      <c r="M546" s="1">
        <v>73264</v>
      </c>
      <c r="N546" t="s">
        <v>19</v>
      </c>
    </row>
    <row r="547" spans="4:14" x14ac:dyDescent="0.25">
      <c r="D547">
        <v>1546</v>
      </c>
      <c r="E547" s="4">
        <v>45758</v>
      </c>
      <c r="F547" t="s">
        <v>20</v>
      </c>
      <c r="G547" t="s">
        <v>11</v>
      </c>
      <c r="H547" t="s">
        <v>30</v>
      </c>
      <c r="I547" t="s">
        <v>22</v>
      </c>
      <c r="J547">
        <v>9</v>
      </c>
      <c r="K547" s="1">
        <v>15000</v>
      </c>
      <c r="L547" s="1">
        <f>Table1[[#This Row],[Unit Price]]*Table1[[#This Row],[Units]]</f>
        <v>135000</v>
      </c>
      <c r="M547" s="1">
        <v>26182</v>
      </c>
      <c r="N547" t="s">
        <v>26</v>
      </c>
    </row>
    <row r="548" spans="4:14" x14ac:dyDescent="0.25">
      <c r="D548">
        <v>1547</v>
      </c>
      <c r="E548" s="4">
        <v>45735</v>
      </c>
      <c r="F548" t="s">
        <v>23</v>
      </c>
      <c r="G548" t="s">
        <v>11</v>
      </c>
      <c r="H548" t="s">
        <v>31</v>
      </c>
      <c r="I548" t="s">
        <v>18</v>
      </c>
      <c r="J548">
        <v>3</v>
      </c>
      <c r="K548" s="1">
        <v>60000</v>
      </c>
      <c r="L548" s="1">
        <f>Table1[[#This Row],[Unit Price]]*Table1[[#This Row],[Units]]</f>
        <v>180000</v>
      </c>
      <c r="M548" s="1">
        <v>55054</v>
      </c>
      <c r="N548" t="s">
        <v>26</v>
      </c>
    </row>
    <row r="549" spans="4:14" x14ac:dyDescent="0.25">
      <c r="D549">
        <v>1548</v>
      </c>
      <c r="E549" s="4">
        <v>45783</v>
      </c>
      <c r="F549" t="s">
        <v>15</v>
      </c>
      <c r="G549" t="s">
        <v>16</v>
      </c>
      <c r="H549" t="s">
        <v>12</v>
      </c>
      <c r="I549" t="s">
        <v>22</v>
      </c>
      <c r="J549">
        <v>2</v>
      </c>
      <c r="K549" s="1">
        <v>15000</v>
      </c>
      <c r="L549" s="1">
        <f>Table1[[#This Row],[Unit Price]]*Table1[[#This Row],[Units]]</f>
        <v>30000</v>
      </c>
      <c r="M549" s="1">
        <v>5960</v>
      </c>
      <c r="N549" t="s">
        <v>14</v>
      </c>
    </row>
    <row r="550" spans="4:14" x14ac:dyDescent="0.25">
      <c r="D550">
        <v>1549</v>
      </c>
      <c r="E550" s="4">
        <v>45786</v>
      </c>
      <c r="F550" t="s">
        <v>15</v>
      </c>
      <c r="G550" t="s">
        <v>11</v>
      </c>
      <c r="H550" t="s">
        <v>35</v>
      </c>
      <c r="I550" t="s">
        <v>28</v>
      </c>
      <c r="J550">
        <v>1</v>
      </c>
      <c r="K550" s="1">
        <v>2000</v>
      </c>
      <c r="L550" s="1">
        <f>Table1[[#This Row],[Unit Price]]*Table1[[#This Row],[Units]]</f>
        <v>2000</v>
      </c>
      <c r="M550" s="1">
        <v>412</v>
      </c>
      <c r="N550" t="s">
        <v>14</v>
      </c>
    </row>
    <row r="551" spans="4:14" x14ac:dyDescent="0.25">
      <c r="D551">
        <v>1550</v>
      </c>
      <c r="E551" s="4">
        <v>45838</v>
      </c>
      <c r="F551" t="s">
        <v>27</v>
      </c>
      <c r="G551" t="s">
        <v>24</v>
      </c>
      <c r="H551" t="s">
        <v>12</v>
      </c>
      <c r="I551" t="s">
        <v>28</v>
      </c>
      <c r="J551">
        <v>8</v>
      </c>
      <c r="K551" s="1">
        <v>2000</v>
      </c>
      <c r="L551" s="1">
        <f>Table1[[#This Row],[Unit Price]]*Table1[[#This Row],[Units]]</f>
        <v>16000</v>
      </c>
      <c r="M551" s="1">
        <v>3538</v>
      </c>
      <c r="N551" t="s">
        <v>14</v>
      </c>
    </row>
    <row r="552" spans="4:14" x14ac:dyDescent="0.25">
      <c r="D552">
        <v>1551</v>
      </c>
      <c r="E552" s="4">
        <v>45836</v>
      </c>
      <c r="F552" t="s">
        <v>27</v>
      </c>
      <c r="G552" t="s">
        <v>16</v>
      </c>
      <c r="H552" t="s">
        <v>35</v>
      </c>
      <c r="I552" t="s">
        <v>13</v>
      </c>
      <c r="J552">
        <v>8</v>
      </c>
      <c r="K552" s="1">
        <v>800</v>
      </c>
      <c r="L552" s="1">
        <f>Table1[[#This Row],[Unit Price]]*Table1[[#This Row],[Units]]</f>
        <v>6400</v>
      </c>
      <c r="M552" s="1">
        <v>2093</v>
      </c>
      <c r="N552" t="s">
        <v>14</v>
      </c>
    </row>
    <row r="553" spans="4:14" x14ac:dyDescent="0.25">
      <c r="D553">
        <v>1552</v>
      </c>
      <c r="E553" s="4">
        <v>45694</v>
      </c>
      <c r="F553" t="s">
        <v>32</v>
      </c>
      <c r="G553" t="s">
        <v>16</v>
      </c>
      <c r="H553" t="s">
        <v>31</v>
      </c>
      <c r="I553" t="s">
        <v>18</v>
      </c>
      <c r="J553">
        <v>9</v>
      </c>
      <c r="K553" s="1">
        <v>60000</v>
      </c>
      <c r="L553" s="1">
        <f>Table1[[#This Row],[Unit Price]]*Table1[[#This Row],[Units]]</f>
        <v>540000</v>
      </c>
      <c r="M553" s="1">
        <v>111185</v>
      </c>
      <c r="N553" t="s">
        <v>19</v>
      </c>
    </row>
    <row r="554" spans="4:14" x14ac:dyDescent="0.25">
      <c r="D554">
        <v>1553</v>
      </c>
      <c r="E554" s="4">
        <v>45782</v>
      </c>
      <c r="F554" t="s">
        <v>15</v>
      </c>
      <c r="G554" t="s">
        <v>24</v>
      </c>
      <c r="H554" t="s">
        <v>31</v>
      </c>
      <c r="I554" t="s">
        <v>13</v>
      </c>
      <c r="J554">
        <v>8</v>
      </c>
      <c r="K554" s="1">
        <v>800</v>
      </c>
      <c r="L554" s="1">
        <f>Table1[[#This Row],[Unit Price]]*Table1[[#This Row],[Units]]</f>
        <v>6400</v>
      </c>
      <c r="M554" s="1">
        <v>2074</v>
      </c>
      <c r="N554" t="s">
        <v>14</v>
      </c>
    </row>
    <row r="555" spans="4:14" x14ac:dyDescent="0.25">
      <c r="D555">
        <v>1554</v>
      </c>
      <c r="E555" s="4">
        <v>45676</v>
      </c>
      <c r="F555" t="s">
        <v>10</v>
      </c>
      <c r="G555" t="s">
        <v>16</v>
      </c>
      <c r="H555" t="s">
        <v>21</v>
      </c>
      <c r="I555" t="s">
        <v>18</v>
      </c>
      <c r="J555">
        <v>2</v>
      </c>
      <c r="K555" s="1">
        <v>60000</v>
      </c>
      <c r="L555" s="1">
        <f>Table1[[#This Row],[Unit Price]]*Table1[[#This Row],[Units]]</f>
        <v>120000</v>
      </c>
      <c r="M555" s="1">
        <v>28073</v>
      </c>
      <c r="N555" t="s">
        <v>26</v>
      </c>
    </row>
    <row r="556" spans="4:14" x14ac:dyDescent="0.25">
      <c r="D556">
        <v>1555</v>
      </c>
      <c r="E556" s="4">
        <v>45741</v>
      </c>
      <c r="F556" t="s">
        <v>23</v>
      </c>
      <c r="G556" t="s">
        <v>16</v>
      </c>
      <c r="H556" t="s">
        <v>30</v>
      </c>
      <c r="I556" t="s">
        <v>22</v>
      </c>
      <c r="J556">
        <v>2</v>
      </c>
      <c r="K556" s="1">
        <v>15000</v>
      </c>
      <c r="L556" s="1">
        <f>Table1[[#This Row],[Unit Price]]*Table1[[#This Row],[Units]]</f>
        <v>30000</v>
      </c>
      <c r="M556" s="1">
        <v>8837</v>
      </c>
      <c r="N556" t="s">
        <v>14</v>
      </c>
    </row>
    <row r="557" spans="4:14" x14ac:dyDescent="0.25">
      <c r="D557">
        <v>1556</v>
      </c>
      <c r="E557" s="4">
        <v>45758</v>
      </c>
      <c r="F557" t="s">
        <v>20</v>
      </c>
      <c r="G557" t="s">
        <v>29</v>
      </c>
      <c r="H557" t="s">
        <v>33</v>
      </c>
      <c r="I557" t="s">
        <v>34</v>
      </c>
      <c r="J557">
        <v>1</v>
      </c>
      <c r="K557" s="1">
        <v>30000</v>
      </c>
      <c r="L557" s="1">
        <f>Table1[[#This Row],[Unit Price]]*Table1[[#This Row],[Units]]</f>
        <v>30000</v>
      </c>
      <c r="M557" s="1">
        <v>8214</v>
      </c>
      <c r="N557" t="s">
        <v>14</v>
      </c>
    </row>
    <row r="558" spans="4:14" x14ac:dyDescent="0.25">
      <c r="D558">
        <v>1557</v>
      </c>
      <c r="E558" s="4">
        <v>45718</v>
      </c>
      <c r="F558" t="s">
        <v>23</v>
      </c>
      <c r="G558" t="s">
        <v>16</v>
      </c>
      <c r="H558" t="s">
        <v>17</v>
      </c>
      <c r="I558" t="s">
        <v>34</v>
      </c>
      <c r="J558">
        <v>7</v>
      </c>
      <c r="K558" s="1">
        <v>30000</v>
      </c>
      <c r="L558" s="1">
        <f>Table1[[#This Row],[Unit Price]]*Table1[[#This Row],[Units]]</f>
        <v>210000</v>
      </c>
      <c r="M558" s="1">
        <v>53725</v>
      </c>
      <c r="N558" t="s">
        <v>19</v>
      </c>
    </row>
    <row r="559" spans="4:14" x14ac:dyDescent="0.25">
      <c r="D559">
        <v>1558</v>
      </c>
      <c r="E559" s="4">
        <v>45718</v>
      </c>
      <c r="F559" t="s">
        <v>23</v>
      </c>
      <c r="G559" t="s">
        <v>29</v>
      </c>
      <c r="H559" t="s">
        <v>21</v>
      </c>
      <c r="I559" t="s">
        <v>18</v>
      </c>
      <c r="J559">
        <v>9</v>
      </c>
      <c r="K559" s="1">
        <v>60000</v>
      </c>
      <c r="L559" s="1">
        <f>Table1[[#This Row],[Unit Price]]*Table1[[#This Row],[Units]]</f>
        <v>540000</v>
      </c>
      <c r="M559" s="1">
        <v>95330</v>
      </c>
      <c r="N559" t="s">
        <v>19</v>
      </c>
    </row>
    <row r="560" spans="4:14" x14ac:dyDescent="0.25">
      <c r="D560">
        <v>1559</v>
      </c>
      <c r="E560" s="4">
        <v>45663</v>
      </c>
      <c r="F560" t="s">
        <v>10</v>
      </c>
      <c r="G560" t="s">
        <v>29</v>
      </c>
      <c r="H560" t="s">
        <v>21</v>
      </c>
      <c r="I560" t="s">
        <v>13</v>
      </c>
      <c r="J560">
        <v>9</v>
      </c>
      <c r="K560" s="1">
        <v>800</v>
      </c>
      <c r="L560" s="1">
        <f>Table1[[#This Row],[Unit Price]]*Table1[[#This Row],[Units]]</f>
        <v>7200</v>
      </c>
      <c r="M560" s="1">
        <v>1572</v>
      </c>
      <c r="N560" t="s">
        <v>14</v>
      </c>
    </row>
    <row r="561" spans="4:14" x14ac:dyDescent="0.25">
      <c r="D561">
        <v>1560</v>
      </c>
      <c r="E561" s="4">
        <v>45661</v>
      </c>
      <c r="F561" t="s">
        <v>10</v>
      </c>
      <c r="G561" t="s">
        <v>24</v>
      </c>
      <c r="H561" t="s">
        <v>12</v>
      </c>
      <c r="I561" t="s">
        <v>28</v>
      </c>
      <c r="J561">
        <v>1</v>
      </c>
      <c r="K561" s="1">
        <v>2000</v>
      </c>
      <c r="L561" s="1">
        <f>Table1[[#This Row],[Unit Price]]*Table1[[#This Row],[Units]]</f>
        <v>2000</v>
      </c>
      <c r="M561" s="1">
        <v>337</v>
      </c>
      <c r="N561" t="s">
        <v>14</v>
      </c>
    </row>
    <row r="562" spans="4:14" x14ac:dyDescent="0.25">
      <c r="D562">
        <v>1561</v>
      </c>
      <c r="E562" s="4">
        <v>45817</v>
      </c>
      <c r="F562" t="s">
        <v>27</v>
      </c>
      <c r="G562" t="s">
        <v>24</v>
      </c>
      <c r="H562" t="s">
        <v>30</v>
      </c>
      <c r="I562" t="s">
        <v>22</v>
      </c>
      <c r="J562">
        <v>5</v>
      </c>
      <c r="K562" s="1">
        <v>15000</v>
      </c>
      <c r="L562" s="1">
        <f>Table1[[#This Row],[Unit Price]]*Table1[[#This Row],[Units]]</f>
        <v>75000</v>
      </c>
      <c r="M562" s="1">
        <v>14979</v>
      </c>
      <c r="N562" t="s">
        <v>26</v>
      </c>
    </row>
    <row r="563" spans="4:14" x14ac:dyDescent="0.25">
      <c r="D563">
        <v>1562</v>
      </c>
      <c r="E563" s="4">
        <v>45677</v>
      </c>
      <c r="F563" t="s">
        <v>10</v>
      </c>
      <c r="G563" t="s">
        <v>29</v>
      </c>
      <c r="H563" t="s">
        <v>25</v>
      </c>
      <c r="I563" t="s">
        <v>13</v>
      </c>
      <c r="J563">
        <v>7</v>
      </c>
      <c r="K563" s="1">
        <v>800</v>
      </c>
      <c r="L563" s="1">
        <f>Table1[[#This Row],[Unit Price]]*Table1[[#This Row],[Units]]</f>
        <v>5600</v>
      </c>
      <c r="M563" s="1">
        <v>1151</v>
      </c>
      <c r="N563" t="s">
        <v>14</v>
      </c>
    </row>
    <row r="564" spans="4:14" x14ac:dyDescent="0.25">
      <c r="D564">
        <v>1563</v>
      </c>
      <c r="E564" s="4">
        <v>45723</v>
      </c>
      <c r="F564" t="s">
        <v>23</v>
      </c>
      <c r="G564" t="s">
        <v>11</v>
      </c>
      <c r="H564" t="s">
        <v>30</v>
      </c>
      <c r="I564" t="s">
        <v>13</v>
      </c>
      <c r="J564">
        <v>3</v>
      </c>
      <c r="K564" s="1">
        <v>800</v>
      </c>
      <c r="L564" s="1">
        <f>Table1[[#This Row],[Unit Price]]*Table1[[#This Row],[Units]]</f>
        <v>2400</v>
      </c>
      <c r="M564" s="1">
        <v>527</v>
      </c>
      <c r="N564" t="s">
        <v>14</v>
      </c>
    </row>
    <row r="565" spans="4:14" x14ac:dyDescent="0.25">
      <c r="D565">
        <v>1564</v>
      </c>
      <c r="E565" s="4">
        <v>45809</v>
      </c>
      <c r="F565" t="s">
        <v>27</v>
      </c>
      <c r="G565" t="s">
        <v>11</v>
      </c>
      <c r="H565" t="s">
        <v>30</v>
      </c>
      <c r="I565" t="s">
        <v>34</v>
      </c>
      <c r="J565">
        <v>9</v>
      </c>
      <c r="K565" s="1">
        <v>30000</v>
      </c>
      <c r="L565" s="1">
        <f>Table1[[#This Row],[Unit Price]]*Table1[[#This Row],[Units]]</f>
        <v>270000</v>
      </c>
      <c r="M565" s="1">
        <v>61618</v>
      </c>
      <c r="N565" t="s">
        <v>19</v>
      </c>
    </row>
    <row r="566" spans="4:14" x14ac:dyDescent="0.25">
      <c r="D566">
        <v>1565</v>
      </c>
      <c r="E566" s="4">
        <v>45808</v>
      </c>
      <c r="F566" t="s">
        <v>15</v>
      </c>
      <c r="G566" t="s">
        <v>29</v>
      </c>
      <c r="H566" t="s">
        <v>12</v>
      </c>
      <c r="I566" t="s">
        <v>28</v>
      </c>
      <c r="J566">
        <v>2</v>
      </c>
      <c r="K566" s="1">
        <v>2000</v>
      </c>
      <c r="L566" s="1">
        <f>Table1[[#This Row],[Unit Price]]*Table1[[#This Row],[Units]]</f>
        <v>4000</v>
      </c>
      <c r="M566" s="1">
        <v>1282</v>
      </c>
      <c r="N566" t="s">
        <v>14</v>
      </c>
    </row>
    <row r="567" spans="4:14" x14ac:dyDescent="0.25">
      <c r="D567">
        <v>1566</v>
      </c>
      <c r="E567" s="4">
        <v>45741</v>
      </c>
      <c r="F567" t="s">
        <v>23</v>
      </c>
      <c r="G567" t="s">
        <v>24</v>
      </c>
      <c r="H567" t="s">
        <v>17</v>
      </c>
      <c r="I567" t="s">
        <v>18</v>
      </c>
      <c r="J567">
        <v>6</v>
      </c>
      <c r="K567" s="1">
        <v>60000</v>
      </c>
      <c r="L567" s="1">
        <f>Table1[[#This Row],[Unit Price]]*Table1[[#This Row],[Units]]</f>
        <v>360000</v>
      </c>
      <c r="M567" s="1">
        <v>91889</v>
      </c>
      <c r="N567" t="s">
        <v>19</v>
      </c>
    </row>
    <row r="568" spans="4:14" x14ac:dyDescent="0.25">
      <c r="D568">
        <v>1567</v>
      </c>
      <c r="E568" s="4">
        <v>45804</v>
      </c>
      <c r="F568" t="s">
        <v>15</v>
      </c>
      <c r="G568" t="s">
        <v>16</v>
      </c>
      <c r="H568" t="s">
        <v>33</v>
      </c>
      <c r="I568" t="s">
        <v>34</v>
      </c>
      <c r="J568">
        <v>6</v>
      </c>
      <c r="K568" s="1">
        <v>30000</v>
      </c>
      <c r="L568" s="1">
        <f>Table1[[#This Row],[Unit Price]]*Table1[[#This Row],[Units]]</f>
        <v>180000</v>
      </c>
      <c r="M568" s="1">
        <v>49004</v>
      </c>
      <c r="N568" t="s">
        <v>26</v>
      </c>
    </row>
    <row r="569" spans="4:14" x14ac:dyDescent="0.25">
      <c r="D569">
        <v>1568</v>
      </c>
      <c r="E569" s="4">
        <v>45773</v>
      </c>
      <c r="F569" t="s">
        <v>20</v>
      </c>
      <c r="G569" t="s">
        <v>29</v>
      </c>
      <c r="H569" t="s">
        <v>12</v>
      </c>
      <c r="I569" t="s">
        <v>22</v>
      </c>
      <c r="J569">
        <v>5</v>
      </c>
      <c r="K569" s="1">
        <v>15000</v>
      </c>
      <c r="L569" s="1">
        <f>Table1[[#This Row],[Unit Price]]*Table1[[#This Row],[Units]]</f>
        <v>75000</v>
      </c>
      <c r="M569" s="1">
        <v>17103</v>
      </c>
      <c r="N569" t="s">
        <v>26</v>
      </c>
    </row>
    <row r="570" spans="4:14" x14ac:dyDescent="0.25">
      <c r="D570">
        <v>1569</v>
      </c>
      <c r="E570" s="4">
        <v>45706</v>
      </c>
      <c r="F570" t="s">
        <v>32</v>
      </c>
      <c r="G570" t="s">
        <v>24</v>
      </c>
      <c r="H570" t="s">
        <v>33</v>
      </c>
      <c r="I570" t="s">
        <v>13</v>
      </c>
      <c r="J570">
        <v>3</v>
      </c>
      <c r="K570" s="1">
        <v>800</v>
      </c>
      <c r="L570" s="1">
        <f>Table1[[#This Row],[Unit Price]]*Table1[[#This Row],[Units]]</f>
        <v>2400</v>
      </c>
      <c r="M570" s="1">
        <v>483</v>
      </c>
      <c r="N570" t="s">
        <v>14</v>
      </c>
    </row>
    <row r="571" spans="4:14" x14ac:dyDescent="0.25">
      <c r="D571">
        <v>1570</v>
      </c>
      <c r="E571" s="4">
        <v>45800</v>
      </c>
      <c r="F571" t="s">
        <v>15</v>
      </c>
      <c r="G571" t="s">
        <v>29</v>
      </c>
      <c r="H571" t="s">
        <v>25</v>
      </c>
      <c r="I571" t="s">
        <v>18</v>
      </c>
      <c r="J571">
        <v>4</v>
      </c>
      <c r="K571" s="1">
        <v>60000</v>
      </c>
      <c r="L571" s="1">
        <f>Table1[[#This Row],[Unit Price]]*Table1[[#This Row],[Units]]</f>
        <v>240000</v>
      </c>
      <c r="M571" s="1">
        <v>48128</v>
      </c>
      <c r="N571" t="s">
        <v>19</v>
      </c>
    </row>
    <row r="572" spans="4:14" x14ac:dyDescent="0.25">
      <c r="D572">
        <v>1571</v>
      </c>
      <c r="E572" s="4">
        <v>45698</v>
      </c>
      <c r="F572" t="s">
        <v>32</v>
      </c>
      <c r="G572" t="s">
        <v>29</v>
      </c>
      <c r="H572" t="s">
        <v>35</v>
      </c>
      <c r="I572" t="s">
        <v>22</v>
      </c>
      <c r="J572">
        <v>4</v>
      </c>
      <c r="K572" s="1">
        <v>15000</v>
      </c>
      <c r="L572" s="1">
        <f>Table1[[#This Row],[Unit Price]]*Table1[[#This Row],[Units]]</f>
        <v>60000</v>
      </c>
      <c r="M572" s="1">
        <v>14661</v>
      </c>
      <c r="N572" t="s">
        <v>26</v>
      </c>
    </row>
    <row r="573" spans="4:14" x14ac:dyDescent="0.25">
      <c r="D573">
        <v>1572</v>
      </c>
      <c r="E573" s="4">
        <v>45745</v>
      </c>
      <c r="F573" t="s">
        <v>23</v>
      </c>
      <c r="G573" t="s">
        <v>24</v>
      </c>
      <c r="H573" t="s">
        <v>30</v>
      </c>
      <c r="I573" t="s">
        <v>18</v>
      </c>
      <c r="J573">
        <v>8</v>
      </c>
      <c r="K573" s="1">
        <v>60000</v>
      </c>
      <c r="L573" s="1">
        <f>Table1[[#This Row],[Unit Price]]*Table1[[#This Row],[Units]]</f>
        <v>480000</v>
      </c>
      <c r="M573" s="1">
        <v>164855</v>
      </c>
      <c r="N573" t="s">
        <v>19</v>
      </c>
    </row>
    <row r="574" spans="4:14" x14ac:dyDescent="0.25">
      <c r="D574">
        <v>1573</v>
      </c>
      <c r="E574" s="4">
        <v>45795</v>
      </c>
      <c r="F574" t="s">
        <v>15</v>
      </c>
      <c r="G574" t="s">
        <v>24</v>
      </c>
      <c r="H574" t="s">
        <v>30</v>
      </c>
      <c r="I574" t="s">
        <v>18</v>
      </c>
      <c r="J574">
        <v>1</v>
      </c>
      <c r="K574" s="1">
        <v>60000</v>
      </c>
      <c r="L574" s="1">
        <f>Table1[[#This Row],[Unit Price]]*Table1[[#This Row],[Units]]</f>
        <v>60000</v>
      </c>
      <c r="M574" s="1">
        <v>20931</v>
      </c>
      <c r="N574" t="s">
        <v>26</v>
      </c>
    </row>
    <row r="575" spans="4:14" x14ac:dyDescent="0.25">
      <c r="D575">
        <v>1574</v>
      </c>
      <c r="E575" s="4">
        <v>45819</v>
      </c>
      <c r="F575" t="s">
        <v>27</v>
      </c>
      <c r="G575" t="s">
        <v>24</v>
      </c>
      <c r="H575" t="s">
        <v>35</v>
      </c>
      <c r="I575" t="s">
        <v>18</v>
      </c>
      <c r="J575">
        <v>5</v>
      </c>
      <c r="K575" s="1">
        <v>60000</v>
      </c>
      <c r="L575" s="1">
        <f>Table1[[#This Row],[Unit Price]]*Table1[[#This Row],[Units]]</f>
        <v>300000</v>
      </c>
      <c r="M575" s="1">
        <v>74735</v>
      </c>
      <c r="N575" t="s">
        <v>19</v>
      </c>
    </row>
    <row r="576" spans="4:14" x14ac:dyDescent="0.25">
      <c r="D576">
        <v>1575</v>
      </c>
      <c r="E576" s="4">
        <v>45718</v>
      </c>
      <c r="F576" t="s">
        <v>23</v>
      </c>
      <c r="G576" t="s">
        <v>29</v>
      </c>
      <c r="H576" t="s">
        <v>21</v>
      </c>
      <c r="I576" t="s">
        <v>18</v>
      </c>
      <c r="J576">
        <v>4</v>
      </c>
      <c r="K576" s="1">
        <v>60000</v>
      </c>
      <c r="L576" s="1">
        <f>Table1[[#This Row],[Unit Price]]*Table1[[#This Row],[Units]]</f>
        <v>240000</v>
      </c>
      <c r="M576" s="1">
        <v>36218</v>
      </c>
      <c r="N576" t="s">
        <v>19</v>
      </c>
    </row>
    <row r="577" spans="4:14" x14ac:dyDescent="0.25">
      <c r="D577">
        <v>1576</v>
      </c>
      <c r="E577" s="4">
        <v>45815</v>
      </c>
      <c r="F577" t="s">
        <v>27</v>
      </c>
      <c r="G577" t="s">
        <v>11</v>
      </c>
      <c r="H577" t="s">
        <v>33</v>
      </c>
      <c r="I577" t="s">
        <v>34</v>
      </c>
      <c r="J577">
        <v>4</v>
      </c>
      <c r="K577" s="1">
        <v>30000</v>
      </c>
      <c r="L577" s="1">
        <f>Table1[[#This Row],[Unit Price]]*Table1[[#This Row],[Units]]</f>
        <v>120000</v>
      </c>
      <c r="M577" s="1">
        <v>40289</v>
      </c>
      <c r="N577" t="s">
        <v>26</v>
      </c>
    </row>
    <row r="578" spans="4:14" x14ac:dyDescent="0.25">
      <c r="D578">
        <v>1577</v>
      </c>
      <c r="E578" s="4">
        <v>45725</v>
      </c>
      <c r="F578" t="s">
        <v>23</v>
      </c>
      <c r="G578" t="s">
        <v>24</v>
      </c>
      <c r="H578" t="s">
        <v>25</v>
      </c>
      <c r="I578" t="s">
        <v>34</v>
      </c>
      <c r="J578">
        <v>4</v>
      </c>
      <c r="K578" s="1">
        <v>30000</v>
      </c>
      <c r="L578" s="1">
        <f>Table1[[#This Row],[Unit Price]]*Table1[[#This Row],[Units]]</f>
        <v>120000</v>
      </c>
      <c r="M578" s="1">
        <v>25131</v>
      </c>
      <c r="N578" t="s">
        <v>26</v>
      </c>
    </row>
    <row r="579" spans="4:14" x14ac:dyDescent="0.25">
      <c r="D579">
        <v>1578</v>
      </c>
      <c r="E579" s="4">
        <v>45820</v>
      </c>
      <c r="F579" t="s">
        <v>27</v>
      </c>
      <c r="G579" t="s">
        <v>24</v>
      </c>
      <c r="H579" t="s">
        <v>21</v>
      </c>
      <c r="I579" t="s">
        <v>22</v>
      </c>
      <c r="J579">
        <v>10</v>
      </c>
      <c r="K579" s="1">
        <v>15000</v>
      </c>
      <c r="L579" s="1">
        <f>Table1[[#This Row],[Unit Price]]*Table1[[#This Row],[Units]]</f>
        <v>150000</v>
      </c>
      <c r="M579" s="1">
        <v>35935</v>
      </c>
      <c r="N579" t="s">
        <v>26</v>
      </c>
    </row>
    <row r="580" spans="4:14" x14ac:dyDescent="0.25">
      <c r="D580">
        <v>1579</v>
      </c>
      <c r="E580" s="4">
        <v>45673</v>
      </c>
      <c r="F580" t="s">
        <v>10</v>
      </c>
      <c r="G580" t="s">
        <v>29</v>
      </c>
      <c r="H580" t="s">
        <v>21</v>
      </c>
      <c r="I580" t="s">
        <v>13</v>
      </c>
      <c r="J580">
        <v>3</v>
      </c>
      <c r="K580" s="1">
        <v>800</v>
      </c>
      <c r="L580" s="1">
        <f>Table1[[#This Row],[Unit Price]]*Table1[[#This Row],[Units]]</f>
        <v>2400</v>
      </c>
      <c r="M580" s="1">
        <v>812</v>
      </c>
      <c r="N580" t="s">
        <v>14</v>
      </c>
    </row>
    <row r="581" spans="4:14" x14ac:dyDescent="0.25">
      <c r="D581">
        <v>1580</v>
      </c>
      <c r="E581" s="4">
        <v>45711</v>
      </c>
      <c r="F581" t="s">
        <v>32</v>
      </c>
      <c r="G581" t="s">
        <v>11</v>
      </c>
      <c r="H581" t="s">
        <v>31</v>
      </c>
      <c r="I581" t="s">
        <v>34</v>
      </c>
      <c r="J581">
        <v>9</v>
      </c>
      <c r="K581" s="1">
        <v>30000</v>
      </c>
      <c r="L581" s="1">
        <f>Table1[[#This Row],[Unit Price]]*Table1[[#This Row],[Units]]</f>
        <v>270000</v>
      </c>
      <c r="M581" s="1">
        <v>75361</v>
      </c>
      <c r="N581" t="s">
        <v>19</v>
      </c>
    </row>
    <row r="582" spans="4:14" x14ac:dyDescent="0.25">
      <c r="D582">
        <v>1581</v>
      </c>
      <c r="E582" s="4">
        <v>45706</v>
      </c>
      <c r="F582" t="s">
        <v>32</v>
      </c>
      <c r="G582" t="s">
        <v>24</v>
      </c>
      <c r="H582" t="s">
        <v>25</v>
      </c>
      <c r="I582" t="s">
        <v>13</v>
      </c>
      <c r="J582">
        <v>9</v>
      </c>
      <c r="K582" s="1">
        <v>800</v>
      </c>
      <c r="L582" s="1">
        <f>Table1[[#This Row],[Unit Price]]*Table1[[#This Row],[Units]]</f>
        <v>7200</v>
      </c>
      <c r="M582" s="1">
        <v>2258</v>
      </c>
      <c r="N582" t="s">
        <v>14</v>
      </c>
    </row>
    <row r="583" spans="4:14" x14ac:dyDescent="0.25">
      <c r="D583">
        <v>1582</v>
      </c>
      <c r="E583" s="4">
        <v>45735</v>
      </c>
      <c r="F583" t="s">
        <v>23</v>
      </c>
      <c r="G583" t="s">
        <v>24</v>
      </c>
      <c r="H583" t="s">
        <v>30</v>
      </c>
      <c r="I583" t="s">
        <v>34</v>
      </c>
      <c r="J583">
        <v>1</v>
      </c>
      <c r="K583" s="1">
        <v>30000</v>
      </c>
      <c r="L583" s="1">
        <f>Table1[[#This Row],[Unit Price]]*Table1[[#This Row],[Units]]</f>
        <v>30000</v>
      </c>
      <c r="M583" s="1">
        <v>8997</v>
      </c>
      <c r="N583" t="s">
        <v>14</v>
      </c>
    </row>
    <row r="584" spans="4:14" x14ac:dyDescent="0.25">
      <c r="D584">
        <v>1583</v>
      </c>
      <c r="E584" s="4">
        <v>45667</v>
      </c>
      <c r="F584" t="s">
        <v>10</v>
      </c>
      <c r="G584" t="s">
        <v>24</v>
      </c>
      <c r="H584" t="s">
        <v>21</v>
      </c>
      <c r="I584" t="s">
        <v>28</v>
      </c>
      <c r="J584">
        <v>9</v>
      </c>
      <c r="K584" s="1">
        <v>2000</v>
      </c>
      <c r="L584" s="1">
        <f>Table1[[#This Row],[Unit Price]]*Table1[[#This Row],[Units]]</f>
        <v>18000</v>
      </c>
      <c r="M584" s="1">
        <v>5167</v>
      </c>
      <c r="N584" t="s">
        <v>14</v>
      </c>
    </row>
    <row r="585" spans="4:14" x14ac:dyDescent="0.25">
      <c r="D585">
        <v>1584</v>
      </c>
      <c r="E585" s="4">
        <v>45810</v>
      </c>
      <c r="F585" t="s">
        <v>27</v>
      </c>
      <c r="G585" t="s">
        <v>24</v>
      </c>
      <c r="H585" t="s">
        <v>30</v>
      </c>
      <c r="I585" t="s">
        <v>28</v>
      </c>
      <c r="J585">
        <v>10</v>
      </c>
      <c r="K585" s="1">
        <v>2000</v>
      </c>
      <c r="L585" s="1">
        <f>Table1[[#This Row],[Unit Price]]*Table1[[#This Row],[Units]]</f>
        <v>20000</v>
      </c>
      <c r="M585" s="1">
        <v>5475</v>
      </c>
      <c r="N585" t="s">
        <v>14</v>
      </c>
    </row>
    <row r="586" spans="4:14" x14ac:dyDescent="0.25">
      <c r="D586">
        <v>1585</v>
      </c>
      <c r="E586" s="4">
        <v>45785</v>
      </c>
      <c r="F586" t="s">
        <v>15</v>
      </c>
      <c r="G586" t="s">
        <v>29</v>
      </c>
      <c r="H586" t="s">
        <v>35</v>
      </c>
      <c r="I586" t="s">
        <v>22</v>
      </c>
      <c r="J586">
        <v>4</v>
      </c>
      <c r="K586" s="1">
        <v>15000</v>
      </c>
      <c r="L586" s="1">
        <f>Table1[[#This Row],[Unit Price]]*Table1[[#This Row],[Units]]</f>
        <v>60000</v>
      </c>
      <c r="M586" s="1">
        <v>18661</v>
      </c>
      <c r="N586" t="s">
        <v>26</v>
      </c>
    </row>
    <row r="587" spans="4:14" x14ac:dyDescent="0.25">
      <c r="D587">
        <v>1586</v>
      </c>
      <c r="E587" s="4">
        <v>45723</v>
      </c>
      <c r="F587" t="s">
        <v>23</v>
      </c>
      <c r="G587" t="s">
        <v>16</v>
      </c>
      <c r="H587" t="s">
        <v>17</v>
      </c>
      <c r="I587" t="s">
        <v>18</v>
      </c>
      <c r="J587">
        <v>10</v>
      </c>
      <c r="K587" s="1">
        <v>60000</v>
      </c>
      <c r="L587" s="1">
        <f>Table1[[#This Row],[Unit Price]]*Table1[[#This Row],[Units]]</f>
        <v>600000</v>
      </c>
      <c r="M587" s="1">
        <v>132568</v>
      </c>
      <c r="N587" t="s">
        <v>19</v>
      </c>
    </row>
    <row r="588" spans="4:14" x14ac:dyDescent="0.25">
      <c r="D588">
        <v>1587</v>
      </c>
      <c r="E588" s="4">
        <v>45695</v>
      </c>
      <c r="F588" t="s">
        <v>32</v>
      </c>
      <c r="G588" t="s">
        <v>24</v>
      </c>
      <c r="H588" t="s">
        <v>30</v>
      </c>
      <c r="I588" t="s">
        <v>34</v>
      </c>
      <c r="J588">
        <v>4</v>
      </c>
      <c r="K588" s="1">
        <v>30000</v>
      </c>
      <c r="L588" s="1">
        <f>Table1[[#This Row],[Unit Price]]*Table1[[#This Row],[Units]]</f>
        <v>120000</v>
      </c>
      <c r="M588" s="1">
        <v>36959</v>
      </c>
      <c r="N588" t="s">
        <v>26</v>
      </c>
    </row>
    <row r="589" spans="4:14" x14ac:dyDescent="0.25">
      <c r="D589">
        <v>1588</v>
      </c>
      <c r="E589" s="4">
        <v>45744</v>
      </c>
      <c r="F589" t="s">
        <v>23</v>
      </c>
      <c r="G589" t="s">
        <v>24</v>
      </c>
      <c r="H589" t="s">
        <v>31</v>
      </c>
      <c r="I589" t="s">
        <v>13</v>
      </c>
      <c r="J589">
        <v>7</v>
      </c>
      <c r="K589" s="1">
        <v>800</v>
      </c>
      <c r="L589" s="1">
        <f>Table1[[#This Row],[Unit Price]]*Table1[[#This Row],[Units]]</f>
        <v>5600</v>
      </c>
      <c r="M589" s="1">
        <v>1076</v>
      </c>
      <c r="N589" t="s">
        <v>14</v>
      </c>
    </row>
    <row r="590" spans="4:14" x14ac:dyDescent="0.25">
      <c r="D590">
        <v>1589</v>
      </c>
      <c r="E590" s="4">
        <v>45742</v>
      </c>
      <c r="F590" t="s">
        <v>23</v>
      </c>
      <c r="G590" t="s">
        <v>29</v>
      </c>
      <c r="H590" t="s">
        <v>21</v>
      </c>
      <c r="I590" t="s">
        <v>13</v>
      </c>
      <c r="J590">
        <v>6</v>
      </c>
      <c r="K590" s="1">
        <v>800</v>
      </c>
      <c r="L590" s="1">
        <f>Table1[[#This Row],[Unit Price]]*Table1[[#This Row],[Units]]</f>
        <v>4800</v>
      </c>
      <c r="M590" s="1">
        <v>1002</v>
      </c>
      <c r="N590" t="s">
        <v>14</v>
      </c>
    </row>
    <row r="591" spans="4:14" x14ac:dyDescent="0.25">
      <c r="D591">
        <v>1590</v>
      </c>
      <c r="E591" s="4">
        <v>45785</v>
      </c>
      <c r="F591" t="s">
        <v>15</v>
      </c>
      <c r="G591" t="s">
        <v>24</v>
      </c>
      <c r="H591" t="s">
        <v>31</v>
      </c>
      <c r="I591" t="s">
        <v>34</v>
      </c>
      <c r="J591">
        <v>6</v>
      </c>
      <c r="K591" s="1">
        <v>30000</v>
      </c>
      <c r="L591" s="1">
        <f>Table1[[#This Row],[Unit Price]]*Table1[[#This Row],[Units]]</f>
        <v>180000</v>
      </c>
      <c r="M591" s="1">
        <v>30170</v>
      </c>
      <c r="N591" t="s">
        <v>26</v>
      </c>
    </row>
    <row r="592" spans="4:14" x14ac:dyDescent="0.25">
      <c r="D592">
        <v>1591</v>
      </c>
      <c r="E592" s="4">
        <v>45779</v>
      </c>
      <c r="F592" t="s">
        <v>15</v>
      </c>
      <c r="G592" t="s">
        <v>16</v>
      </c>
      <c r="H592" t="s">
        <v>25</v>
      </c>
      <c r="I592" t="s">
        <v>13</v>
      </c>
      <c r="J592">
        <v>1</v>
      </c>
      <c r="K592" s="1">
        <v>800</v>
      </c>
      <c r="L592" s="1">
        <f>Table1[[#This Row],[Unit Price]]*Table1[[#This Row],[Units]]</f>
        <v>800</v>
      </c>
      <c r="M592" s="1">
        <v>182</v>
      </c>
      <c r="N592" t="s">
        <v>14</v>
      </c>
    </row>
    <row r="593" spans="4:14" x14ac:dyDescent="0.25">
      <c r="D593">
        <v>1592</v>
      </c>
      <c r="E593" s="4">
        <v>45783</v>
      </c>
      <c r="F593" t="s">
        <v>15</v>
      </c>
      <c r="G593" t="s">
        <v>16</v>
      </c>
      <c r="H593" t="s">
        <v>33</v>
      </c>
      <c r="I593" t="s">
        <v>28</v>
      </c>
      <c r="J593">
        <v>6</v>
      </c>
      <c r="K593" s="1">
        <v>2000</v>
      </c>
      <c r="L593" s="1">
        <f>Table1[[#This Row],[Unit Price]]*Table1[[#This Row],[Units]]</f>
        <v>12000</v>
      </c>
      <c r="M593" s="1">
        <v>2989</v>
      </c>
      <c r="N593" t="s">
        <v>14</v>
      </c>
    </row>
    <row r="594" spans="4:14" x14ac:dyDescent="0.25">
      <c r="D594">
        <v>1593</v>
      </c>
      <c r="E594" s="4">
        <v>45756</v>
      </c>
      <c r="F594" t="s">
        <v>20</v>
      </c>
      <c r="G594" t="s">
        <v>24</v>
      </c>
      <c r="H594" t="s">
        <v>31</v>
      </c>
      <c r="I594" t="s">
        <v>13</v>
      </c>
      <c r="J594">
        <v>5</v>
      </c>
      <c r="K594" s="1">
        <v>800</v>
      </c>
      <c r="L594" s="1">
        <f>Table1[[#This Row],[Unit Price]]*Table1[[#This Row],[Units]]</f>
        <v>4000</v>
      </c>
      <c r="M594" s="1">
        <v>922</v>
      </c>
      <c r="N594" t="s">
        <v>14</v>
      </c>
    </row>
    <row r="595" spans="4:14" x14ac:dyDescent="0.25">
      <c r="D595">
        <v>1594</v>
      </c>
      <c r="E595" s="4">
        <v>45665</v>
      </c>
      <c r="F595" t="s">
        <v>10</v>
      </c>
      <c r="G595" t="s">
        <v>11</v>
      </c>
      <c r="H595" t="s">
        <v>21</v>
      </c>
      <c r="I595" t="s">
        <v>18</v>
      </c>
      <c r="J595">
        <v>6</v>
      </c>
      <c r="K595" s="1">
        <v>60000</v>
      </c>
      <c r="L595" s="1">
        <f>Table1[[#This Row],[Unit Price]]*Table1[[#This Row],[Units]]</f>
        <v>360000</v>
      </c>
      <c r="M595" s="1">
        <v>80728</v>
      </c>
      <c r="N595" t="s">
        <v>19</v>
      </c>
    </row>
    <row r="596" spans="4:14" x14ac:dyDescent="0.25">
      <c r="D596">
        <v>1595</v>
      </c>
      <c r="E596" s="4">
        <v>45723</v>
      </c>
      <c r="F596" t="s">
        <v>23</v>
      </c>
      <c r="G596" t="s">
        <v>11</v>
      </c>
      <c r="H596" t="s">
        <v>35</v>
      </c>
      <c r="I596" t="s">
        <v>34</v>
      </c>
      <c r="J596">
        <v>1</v>
      </c>
      <c r="K596" s="1">
        <v>30000</v>
      </c>
      <c r="L596" s="1">
        <f>Table1[[#This Row],[Unit Price]]*Table1[[#This Row],[Units]]</f>
        <v>30000</v>
      </c>
      <c r="M596" s="1">
        <v>4899</v>
      </c>
      <c r="N596" t="s">
        <v>14</v>
      </c>
    </row>
    <row r="597" spans="4:14" x14ac:dyDescent="0.25">
      <c r="D597">
        <v>1596</v>
      </c>
      <c r="E597" s="4">
        <v>45665</v>
      </c>
      <c r="F597" t="s">
        <v>10</v>
      </c>
      <c r="G597" t="s">
        <v>11</v>
      </c>
      <c r="H597" t="s">
        <v>31</v>
      </c>
      <c r="I597" t="s">
        <v>28</v>
      </c>
      <c r="J597">
        <v>4</v>
      </c>
      <c r="K597" s="1">
        <v>2000</v>
      </c>
      <c r="L597" s="1">
        <f>Table1[[#This Row],[Unit Price]]*Table1[[#This Row],[Units]]</f>
        <v>8000</v>
      </c>
      <c r="M597" s="1">
        <v>1696</v>
      </c>
      <c r="N597" t="s">
        <v>14</v>
      </c>
    </row>
    <row r="598" spans="4:14" x14ac:dyDescent="0.25">
      <c r="D598">
        <v>1597</v>
      </c>
      <c r="E598" s="4">
        <v>45810</v>
      </c>
      <c r="F598" t="s">
        <v>27</v>
      </c>
      <c r="G598" t="s">
        <v>24</v>
      </c>
      <c r="H598" t="s">
        <v>25</v>
      </c>
      <c r="I598" t="s">
        <v>13</v>
      </c>
      <c r="J598">
        <v>2</v>
      </c>
      <c r="K598" s="1">
        <v>800</v>
      </c>
      <c r="L598" s="1">
        <f>Table1[[#This Row],[Unit Price]]*Table1[[#This Row],[Units]]</f>
        <v>1600</v>
      </c>
      <c r="M598" s="1">
        <v>376</v>
      </c>
      <c r="N598" t="s">
        <v>14</v>
      </c>
    </row>
    <row r="599" spans="4:14" x14ac:dyDescent="0.25">
      <c r="D599">
        <v>1598</v>
      </c>
      <c r="E599" s="4">
        <v>45833</v>
      </c>
      <c r="F599" t="s">
        <v>27</v>
      </c>
      <c r="G599" t="s">
        <v>11</v>
      </c>
      <c r="H599" t="s">
        <v>31</v>
      </c>
      <c r="I599" t="s">
        <v>22</v>
      </c>
      <c r="J599">
        <v>7</v>
      </c>
      <c r="K599" s="1">
        <v>15000</v>
      </c>
      <c r="L599" s="1">
        <f>Table1[[#This Row],[Unit Price]]*Table1[[#This Row],[Units]]</f>
        <v>105000</v>
      </c>
      <c r="M599" s="1">
        <v>30819</v>
      </c>
      <c r="N599" t="s">
        <v>26</v>
      </c>
    </row>
    <row r="600" spans="4:14" x14ac:dyDescent="0.25">
      <c r="D600">
        <v>1599</v>
      </c>
      <c r="E600" s="4">
        <v>45689</v>
      </c>
      <c r="F600" t="s">
        <v>32</v>
      </c>
      <c r="G600" t="s">
        <v>16</v>
      </c>
      <c r="H600" t="s">
        <v>33</v>
      </c>
      <c r="I600" t="s">
        <v>13</v>
      </c>
      <c r="J600">
        <v>1</v>
      </c>
      <c r="K600" s="1">
        <v>800</v>
      </c>
      <c r="L600" s="1">
        <f>Table1[[#This Row],[Unit Price]]*Table1[[#This Row],[Units]]</f>
        <v>800</v>
      </c>
      <c r="M600" s="1">
        <v>263</v>
      </c>
      <c r="N600" t="s">
        <v>14</v>
      </c>
    </row>
    <row r="601" spans="4:14" x14ac:dyDescent="0.25">
      <c r="D601">
        <v>1600</v>
      </c>
      <c r="E601" s="4">
        <v>45667</v>
      </c>
      <c r="F601" t="s">
        <v>10</v>
      </c>
      <c r="G601" t="s">
        <v>16</v>
      </c>
      <c r="H601" t="s">
        <v>17</v>
      </c>
      <c r="I601" t="s">
        <v>34</v>
      </c>
      <c r="J601">
        <v>5</v>
      </c>
      <c r="K601" s="1">
        <v>30000</v>
      </c>
      <c r="L601" s="1">
        <f>Table1[[#This Row],[Unit Price]]*Table1[[#This Row],[Units]]</f>
        <v>150000</v>
      </c>
      <c r="M601" s="1">
        <v>27241</v>
      </c>
      <c r="N601" t="s">
        <v>26</v>
      </c>
    </row>
    <row r="602" spans="4:14" x14ac:dyDescent="0.25">
      <c r="D602">
        <v>1601</v>
      </c>
      <c r="E602" s="4">
        <v>45828</v>
      </c>
      <c r="F602" t="s">
        <v>27</v>
      </c>
      <c r="G602" t="s">
        <v>16</v>
      </c>
      <c r="H602" t="s">
        <v>17</v>
      </c>
      <c r="I602" t="s">
        <v>28</v>
      </c>
      <c r="J602">
        <v>7</v>
      </c>
      <c r="K602" s="1">
        <v>2000</v>
      </c>
      <c r="L602" s="1">
        <f>Table1[[#This Row],[Unit Price]]*Table1[[#This Row],[Units]]</f>
        <v>14000</v>
      </c>
      <c r="M602" s="1">
        <v>4412</v>
      </c>
      <c r="N602" t="s">
        <v>14</v>
      </c>
    </row>
    <row r="603" spans="4:14" x14ac:dyDescent="0.25">
      <c r="D603">
        <v>1602</v>
      </c>
      <c r="E603" s="4">
        <v>45708</v>
      </c>
      <c r="F603" t="s">
        <v>32</v>
      </c>
      <c r="G603" t="s">
        <v>11</v>
      </c>
      <c r="H603" t="s">
        <v>33</v>
      </c>
      <c r="I603" t="s">
        <v>34</v>
      </c>
      <c r="J603">
        <v>3</v>
      </c>
      <c r="K603" s="1">
        <v>30000</v>
      </c>
      <c r="L603" s="1">
        <f>Table1[[#This Row],[Unit Price]]*Table1[[#This Row],[Units]]</f>
        <v>90000</v>
      </c>
      <c r="M603" s="1">
        <v>19403</v>
      </c>
      <c r="N603" t="s">
        <v>26</v>
      </c>
    </row>
    <row r="604" spans="4:14" x14ac:dyDescent="0.25">
      <c r="D604">
        <v>1603</v>
      </c>
      <c r="E604" s="4">
        <v>45703</v>
      </c>
      <c r="F604" t="s">
        <v>32</v>
      </c>
      <c r="G604" t="s">
        <v>11</v>
      </c>
      <c r="H604" t="s">
        <v>33</v>
      </c>
      <c r="I604" t="s">
        <v>22</v>
      </c>
      <c r="J604">
        <v>6</v>
      </c>
      <c r="K604" s="1">
        <v>15000</v>
      </c>
      <c r="L604" s="1">
        <f>Table1[[#This Row],[Unit Price]]*Table1[[#This Row],[Units]]</f>
        <v>90000</v>
      </c>
      <c r="M604" s="1">
        <v>15985</v>
      </c>
      <c r="N604" t="s">
        <v>26</v>
      </c>
    </row>
    <row r="605" spans="4:14" x14ac:dyDescent="0.25">
      <c r="D605">
        <v>1604</v>
      </c>
      <c r="E605" s="4">
        <v>45663</v>
      </c>
      <c r="F605" t="s">
        <v>10</v>
      </c>
      <c r="G605" t="s">
        <v>16</v>
      </c>
      <c r="H605" t="s">
        <v>33</v>
      </c>
      <c r="I605" t="s">
        <v>18</v>
      </c>
      <c r="J605">
        <v>5</v>
      </c>
      <c r="K605" s="1">
        <v>60000</v>
      </c>
      <c r="L605" s="1">
        <f>Table1[[#This Row],[Unit Price]]*Table1[[#This Row],[Units]]</f>
        <v>300000</v>
      </c>
      <c r="M605" s="1">
        <v>78630</v>
      </c>
      <c r="N605" t="s">
        <v>19</v>
      </c>
    </row>
    <row r="606" spans="4:14" x14ac:dyDescent="0.25">
      <c r="D606">
        <v>1605</v>
      </c>
      <c r="E606" s="4">
        <v>45703</v>
      </c>
      <c r="F606" t="s">
        <v>32</v>
      </c>
      <c r="G606" t="s">
        <v>29</v>
      </c>
      <c r="H606" t="s">
        <v>31</v>
      </c>
      <c r="I606" t="s">
        <v>28</v>
      </c>
      <c r="J606">
        <v>7</v>
      </c>
      <c r="K606" s="1">
        <v>2000</v>
      </c>
      <c r="L606" s="1">
        <f>Table1[[#This Row],[Unit Price]]*Table1[[#This Row],[Units]]</f>
        <v>14000</v>
      </c>
      <c r="M606" s="1">
        <v>4336</v>
      </c>
      <c r="N606" t="s">
        <v>14</v>
      </c>
    </row>
    <row r="607" spans="4:14" x14ac:dyDescent="0.25">
      <c r="D607">
        <v>1606</v>
      </c>
      <c r="E607" s="4">
        <v>45704</v>
      </c>
      <c r="F607" t="s">
        <v>32</v>
      </c>
      <c r="G607" t="s">
        <v>16</v>
      </c>
      <c r="H607" t="s">
        <v>35</v>
      </c>
      <c r="I607" t="s">
        <v>28</v>
      </c>
      <c r="J607">
        <v>10</v>
      </c>
      <c r="K607" s="1">
        <v>2000</v>
      </c>
      <c r="L607" s="1">
        <f>Table1[[#This Row],[Unit Price]]*Table1[[#This Row],[Units]]</f>
        <v>20000</v>
      </c>
      <c r="M607" s="1">
        <v>6729</v>
      </c>
      <c r="N607" t="s">
        <v>14</v>
      </c>
    </row>
    <row r="608" spans="4:14" x14ac:dyDescent="0.25">
      <c r="D608">
        <v>1607</v>
      </c>
      <c r="E608" s="4">
        <v>45804</v>
      </c>
      <c r="F608" t="s">
        <v>15</v>
      </c>
      <c r="G608" t="s">
        <v>24</v>
      </c>
      <c r="H608" t="s">
        <v>21</v>
      </c>
      <c r="I608" t="s">
        <v>18</v>
      </c>
      <c r="J608">
        <v>10</v>
      </c>
      <c r="K608" s="1">
        <v>60000</v>
      </c>
      <c r="L608" s="1">
        <f>Table1[[#This Row],[Unit Price]]*Table1[[#This Row],[Units]]</f>
        <v>600000</v>
      </c>
      <c r="M608" s="1">
        <v>203558</v>
      </c>
      <c r="N608" t="s">
        <v>19</v>
      </c>
    </row>
    <row r="609" spans="4:14" x14ac:dyDescent="0.25">
      <c r="D609">
        <v>1608</v>
      </c>
      <c r="E609" s="4">
        <v>45769</v>
      </c>
      <c r="F609" t="s">
        <v>20</v>
      </c>
      <c r="G609" t="s">
        <v>24</v>
      </c>
      <c r="H609" t="s">
        <v>21</v>
      </c>
      <c r="I609" t="s">
        <v>18</v>
      </c>
      <c r="J609">
        <v>10</v>
      </c>
      <c r="K609" s="1">
        <v>60000</v>
      </c>
      <c r="L609" s="1">
        <f>Table1[[#This Row],[Unit Price]]*Table1[[#This Row],[Units]]</f>
        <v>600000</v>
      </c>
      <c r="M609" s="1">
        <v>174514</v>
      </c>
      <c r="N609" t="s">
        <v>19</v>
      </c>
    </row>
    <row r="610" spans="4:14" x14ac:dyDescent="0.25">
      <c r="D610">
        <v>1609</v>
      </c>
      <c r="E610" s="4">
        <v>45835</v>
      </c>
      <c r="F610" t="s">
        <v>27</v>
      </c>
      <c r="G610" t="s">
        <v>24</v>
      </c>
      <c r="H610" t="s">
        <v>21</v>
      </c>
      <c r="I610" t="s">
        <v>13</v>
      </c>
      <c r="J610">
        <v>2</v>
      </c>
      <c r="K610" s="1">
        <v>800</v>
      </c>
      <c r="L610" s="1">
        <f>Table1[[#This Row],[Unit Price]]*Table1[[#This Row],[Units]]</f>
        <v>1600</v>
      </c>
      <c r="M610" s="1">
        <v>421</v>
      </c>
      <c r="N610" t="s">
        <v>14</v>
      </c>
    </row>
    <row r="611" spans="4:14" x14ac:dyDescent="0.25">
      <c r="D611">
        <v>1610</v>
      </c>
      <c r="E611" s="4">
        <v>45699</v>
      </c>
      <c r="F611" t="s">
        <v>32</v>
      </c>
      <c r="G611" t="s">
        <v>11</v>
      </c>
      <c r="H611" t="s">
        <v>21</v>
      </c>
      <c r="I611" t="s">
        <v>28</v>
      </c>
      <c r="J611">
        <v>9</v>
      </c>
      <c r="K611" s="1">
        <v>2000</v>
      </c>
      <c r="L611" s="1">
        <f>Table1[[#This Row],[Unit Price]]*Table1[[#This Row],[Units]]</f>
        <v>18000</v>
      </c>
      <c r="M611" s="1">
        <v>5701</v>
      </c>
      <c r="N611" t="s">
        <v>14</v>
      </c>
    </row>
    <row r="612" spans="4:14" x14ac:dyDescent="0.25">
      <c r="D612">
        <v>1611</v>
      </c>
      <c r="E612" s="4">
        <v>45668</v>
      </c>
      <c r="F612" t="s">
        <v>10</v>
      </c>
      <c r="G612" t="s">
        <v>24</v>
      </c>
      <c r="H612" t="s">
        <v>30</v>
      </c>
      <c r="I612" t="s">
        <v>22</v>
      </c>
      <c r="J612">
        <v>4</v>
      </c>
      <c r="K612" s="1">
        <v>15000</v>
      </c>
      <c r="L612" s="1">
        <f>Table1[[#This Row],[Unit Price]]*Table1[[#This Row],[Units]]</f>
        <v>60000</v>
      </c>
      <c r="M612" s="1">
        <v>9622</v>
      </c>
      <c r="N612" t="s">
        <v>26</v>
      </c>
    </row>
    <row r="613" spans="4:14" x14ac:dyDescent="0.25">
      <c r="D613">
        <v>1612</v>
      </c>
      <c r="E613" s="4">
        <v>45758</v>
      </c>
      <c r="F613" t="s">
        <v>20</v>
      </c>
      <c r="G613" t="s">
        <v>24</v>
      </c>
      <c r="H613" t="s">
        <v>31</v>
      </c>
      <c r="I613" t="s">
        <v>28</v>
      </c>
      <c r="J613">
        <v>7</v>
      </c>
      <c r="K613" s="1">
        <v>2000</v>
      </c>
      <c r="L613" s="1">
        <f>Table1[[#This Row],[Unit Price]]*Table1[[#This Row],[Units]]</f>
        <v>14000</v>
      </c>
      <c r="M613" s="1">
        <v>3938</v>
      </c>
      <c r="N613" t="s">
        <v>14</v>
      </c>
    </row>
    <row r="614" spans="4:14" x14ac:dyDescent="0.25">
      <c r="D614">
        <v>1613</v>
      </c>
      <c r="E614" s="4">
        <v>45750</v>
      </c>
      <c r="F614" t="s">
        <v>20</v>
      </c>
      <c r="G614" t="s">
        <v>29</v>
      </c>
      <c r="H614" t="s">
        <v>25</v>
      </c>
      <c r="I614" t="s">
        <v>13</v>
      </c>
      <c r="J614">
        <v>4</v>
      </c>
      <c r="K614" s="1">
        <v>800</v>
      </c>
      <c r="L614" s="1">
        <f>Table1[[#This Row],[Unit Price]]*Table1[[#This Row],[Units]]</f>
        <v>3200</v>
      </c>
      <c r="M614" s="1">
        <v>1092</v>
      </c>
      <c r="N614" t="s">
        <v>14</v>
      </c>
    </row>
    <row r="615" spans="4:14" x14ac:dyDescent="0.25">
      <c r="D615">
        <v>1614</v>
      </c>
      <c r="E615" s="4">
        <v>45690</v>
      </c>
      <c r="F615" t="s">
        <v>32</v>
      </c>
      <c r="G615" t="s">
        <v>16</v>
      </c>
      <c r="H615" t="s">
        <v>12</v>
      </c>
      <c r="I615" t="s">
        <v>22</v>
      </c>
      <c r="J615">
        <v>2</v>
      </c>
      <c r="K615" s="1">
        <v>15000</v>
      </c>
      <c r="L615" s="1">
        <f>Table1[[#This Row],[Unit Price]]*Table1[[#This Row],[Units]]</f>
        <v>30000</v>
      </c>
      <c r="M615" s="1">
        <v>6532</v>
      </c>
      <c r="N615" t="s">
        <v>14</v>
      </c>
    </row>
    <row r="616" spans="4:14" x14ac:dyDescent="0.25">
      <c r="D616">
        <v>1615</v>
      </c>
      <c r="E616" s="4">
        <v>45668</v>
      </c>
      <c r="F616" t="s">
        <v>10</v>
      </c>
      <c r="G616" t="s">
        <v>24</v>
      </c>
      <c r="H616" t="s">
        <v>25</v>
      </c>
      <c r="I616" t="s">
        <v>22</v>
      </c>
      <c r="J616">
        <v>8</v>
      </c>
      <c r="K616" s="1">
        <v>15000</v>
      </c>
      <c r="L616" s="1">
        <f>Table1[[#This Row],[Unit Price]]*Table1[[#This Row],[Units]]</f>
        <v>120000</v>
      </c>
      <c r="M616" s="1">
        <v>39510</v>
      </c>
      <c r="N616" t="s">
        <v>26</v>
      </c>
    </row>
    <row r="617" spans="4:14" x14ac:dyDescent="0.25">
      <c r="D617">
        <v>1616</v>
      </c>
      <c r="E617" s="4">
        <v>45787</v>
      </c>
      <c r="F617" t="s">
        <v>15</v>
      </c>
      <c r="G617" t="s">
        <v>24</v>
      </c>
      <c r="H617" t="s">
        <v>17</v>
      </c>
      <c r="I617" t="s">
        <v>34</v>
      </c>
      <c r="J617">
        <v>5</v>
      </c>
      <c r="K617" s="1">
        <v>30000</v>
      </c>
      <c r="L617" s="1">
        <f>Table1[[#This Row],[Unit Price]]*Table1[[#This Row],[Units]]</f>
        <v>150000</v>
      </c>
      <c r="M617" s="1">
        <v>50940</v>
      </c>
      <c r="N617" t="s">
        <v>26</v>
      </c>
    </row>
    <row r="618" spans="4:14" x14ac:dyDescent="0.25">
      <c r="D618">
        <v>1617</v>
      </c>
      <c r="E618" s="4">
        <v>45782</v>
      </c>
      <c r="F618" t="s">
        <v>15</v>
      </c>
      <c r="G618" t="s">
        <v>29</v>
      </c>
      <c r="H618" t="s">
        <v>33</v>
      </c>
      <c r="I618" t="s">
        <v>13</v>
      </c>
      <c r="J618">
        <v>9</v>
      </c>
      <c r="K618" s="1">
        <v>800</v>
      </c>
      <c r="L618" s="1">
        <f>Table1[[#This Row],[Unit Price]]*Table1[[#This Row],[Units]]</f>
        <v>7200</v>
      </c>
      <c r="M618" s="1">
        <v>2189</v>
      </c>
      <c r="N618" t="s">
        <v>14</v>
      </c>
    </row>
    <row r="619" spans="4:14" x14ac:dyDescent="0.25">
      <c r="D619">
        <v>1618</v>
      </c>
      <c r="E619" s="4">
        <v>45758</v>
      </c>
      <c r="F619" t="s">
        <v>20</v>
      </c>
      <c r="G619" t="s">
        <v>11</v>
      </c>
      <c r="H619" t="s">
        <v>12</v>
      </c>
      <c r="I619" t="s">
        <v>22</v>
      </c>
      <c r="J619">
        <v>7</v>
      </c>
      <c r="K619" s="1">
        <v>15000</v>
      </c>
      <c r="L619" s="1">
        <f>Table1[[#This Row],[Unit Price]]*Table1[[#This Row],[Units]]</f>
        <v>105000</v>
      </c>
      <c r="M619" s="1">
        <v>25729</v>
      </c>
      <c r="N619" t="s">
        <v>26</v>
      </c>
    </row>
    <row r="620" spans="4:14" x14ac:dyDescent="0.25">
      <c r="D620">
        <v>1619</v>
      </c>
      <c r="E620" s="4">
        <v>45838</v>
      </c>
      <c r="F620" t="s">
        <v>27</v>
      </c>
      <c r="G620" t="s">
        <v>16</v>
      </c>
      <c r="H620" t="s">
        <v>12</v>
      </c>
      <c r="I620" t="s">
        <v>18</v>
      </c>
      <c r="J620">
        <v>1</v>
      </c>
      <c r="K620" s="1">
        <v>60000</v>
      </c>
      <c r="L620" s="1">
        <f>Table1[[#This Row],[Unit Price]]*Table1[[#This Row],[Units]]</f>
        <v>60000</v>
      </c>
      <c r="M620" s="1">
        <v>9300</v>
      </c>
      <c r="N620" t="s">
        <v>26</v>
      </c>
    </row>
    <row r="621" spans="4:14" x14ac:dyDescent="0.25">
      <c r="D621">
        <v>1620</v>
      </c>
      <c r="E621" s="4">
        <v>45750</v>
      </c>
      <c r="F621" t="s">
        <v>20</v>
      </c>
      <c r="G621" t="s">
        <v>16</v>
      </c>
      <c r="H621" t="s">
        <v>30</v>
      </c>
      <c r="I621" t="s">
        <v>18</v>
      </c>
      <c r="J621">
        <v>4</v>
      </c>
      <c r="K621" s="1">
        <v>60000</v>
      </c>
      <c r="L621" s="1">
        <f>Table1[[#This Row],[Unit Price]]*Table1[[#This Row],[Units]]</f>
        <v>240000</v>
      </c>
      <c r="M621" s="1">
        <v>39271</v>
      </c>
      <c r="N621" t="s">
        <v>19</v>
      </c>
    </row>
    <row r="622" spans="4:14" x14ac:dyDescent="0.25">
      <c r="D622">
        <v>1621</v>
      </c>
      <c r="E622" s="4">
        <v>45809</v>
      </c>
      <c r="F622" t="s">
        <v>27</v>
      </c>
      <c r="G622" t="s">
        <v>29</v>
      </c>
      <c r="H622" t="s">
        <v>33</v>
      </c>
      <c r="I622" t="s">
        <v>34</v>
      </c>
      <c r="J622">
        <v>10</v>
      </c>
      <c r="K622" s="1">
        <v>30000</v>
      </c>
      <c r="L622" s="1">
        <f>Table1[[#This Row],[Unit Price]]*Table1[[#This Row],[Units]]</f>
        <v>300000</v>
      </c>
      <c r="M622" s="1">
        <v>82876</v>
      </c>
      <c r="N622" t="s">
        <v>19</v>
      </c>
    </row>
    <row r="623" spans="4:14" x14ac:dyDescent="0.25">
      <c r="D623">
        <v>1622</v>
      </c>
      <c r="E623" s="4">
        <v>45684</v>
      </c>
      <c r="F623" t="s">
        <v>10</v>
      </c>
      <c r="G623" t="s">
        <v>24</v>
      </c>
      <c r="H623" t="s">
        <v>33</v>
      </c>
      <c r="I623" t="s">
        <v>18</v>
      </c>
      <c r="J623">
        <v>10</v>
      </c>
      <c r="K623" s="1">
        <v>60000</v>
      </c>
      <c r="L623" s="1">
        <f>Table1[[#This Row],[Unit Price]]*Table1[[#This Row],[Units]]</f>
        <v>600000</v>
      </c>
      <c r="M623" s="1">
        <v>153758</v>
      </c>
      <c r="N623" t="s">
        <v>19</v>
      </c>
    </row>
    <row r="624" spans="4:14" x14ac:dyDescent="0.25">
      <c r="D624">
        <v>1623</v>
      </c>
      <c r="E624" s="4">
        <v>45772</v>
      </c>
      <c r="F624" t="s">
        <v>20</v>
      </c>
      <c r="G624" t="s">
        <v>11</v>
      </c>
      <c r="H624" t="s">
        <v>31</v>
      </c>
      <c r="I624" t="s">
        <v>34</v>
      </c>
      <c r="J624">
        <v>6</v>
      </c>
      <c r="K624" s="1">
        <v>30000</v>
      </c>
      <c r="L624" s="1">
        <f>Table1[[#This Row],[Unit Price]]*Table1[[#This Row],[Units]]</f>
        <v>180000</v>
      </c>
      <c r="M624" s="1">
        <v>33184</v>
      </c>
      <c r="N624" t="s">
        <v>26</v>
      </c>
    </row>
    <row r="625" spans="4:14" x14ac:dyDescent="0.25">
      <c r="D625">
        <v>1624</v>
      </c>
      <c r="E625" s="4">
        <v>45789</v>
      </c>
      <c r="F625" t="s">
        <v>15</v>
      </c>
      <c r="G625" t="s">
        <v>24</v>
      </c>
      <c r="H625" t="s">
        <v>30</v>
      </c>
      <c r="I625" t="s">
        <v>28</v>
      </c>
      <c r="J625">
        <v>6</v>
      </c>
      <c r="K625" s="1">
        <v>2000</v>
      </c>
      <c r="L625" s="1">
        <f>Table1[[#This Row],[Unit Price]]*Table1[[#This Row],[Units]]</f>
        <v>12000</v>
      </c>
      <c r="M625" s="1">
        <v>2313</v>
      </c>
      <c r="N625" t="s">
        <v>14</v>
      </c>
    </row>
    <row r="626" spans="4:14" x14ac:dyDescent="0.25">
      <c r="D626">
        <v>1625</v>
      </c>
      <c r="E626" s="4">
        <v>45705</v>
      </c>
      <c r="F626" t="s">
        <v>32</v>
      </c>
      <c r="G626" t="s">
        <v>29</v>
      </c>
      <c r="H626" t="s">
        <v>17</v>
      </c>
      <c r="I626" t="s">
        <v>13</v>
      </c>
      <c r="J626">
        <v>4</v>
      </c>
      <c r="K626" s="1">
        <v>800</v>
      </c>
      <c r="L626" s="1">
        <f>Table1[[#This Row],[Unit Price]]*Table1[[#This Row],[Units]]</f>
        <v>3200</v>
      </c>
      <c r="M626" s="1">
        <v>858</v>
      </c>
      <c r="N626" t="s">
        <v>14</v>
      </c>
    </row>
    <row r="627" spans="4:14" x14ac:dyDescent="0.25">
      <c r="D627">
        <v>1626</v>
      </c>
      <c r="E627" s="4">
        <v>45746</v>
      </c>
      <c r="F627" t="s">
        <v>23</v>
      </c>
      <c r="G627" t="s">
        <v>29</v>
      </c>
      <c r="H627" t="s">
        <v>17</v>
      </c>
      <c r="I627" t="s">
        <v>28</v>
      </c>
      <c r="J627">
        <v>3</v>
      </c>
      <c r="K627" s="1">
        <v>2000</v>
      </c>
      <c r="L627" s="1">
        <f>Table1[[#This Row],[Unit Price]]*Table1[[#This Row],[Units]]</f>
        <v>6000</v>
      </c>
      <c r="M627" s="1">
        <v>2024</v>
      </c>
      <c r="N627" t="s">
        <v>14</v>
      </c>
    </row>
    <row r="628" spans="4:14" x14ac:dyDescent="0.25">
      <c r="D628">
        <v>1627</v>
      </c>
      <c r="E628" s="4">
        <v>45692</v>
      </c>
      <c r="F628" t="s">
        <v>32</v>
      </c>
      <c r="G628" t="s">
        <v>11</v>
      </c>
      <c r="H628" t="s">
        <v>21</v>
      </c>
      <c r="I628" t="s">
        <v>28</v>
      </c>
      <c r="J628">
        <v>1</v>
      </c>
      <c r="K628" s="1">
        <v>2000</v>
      </c>
      <c r="L628" s="1">
        <f>Table1[[#This Row],[Unit Price]]*Table1[[#This Row],[Units]]</f>
        <v>2000</v>
      </c>
      <c r="M628" s="1">
        <v>513</v>
      </c>
      <c r="N628" t="s">
        <v>14</v>
      </c>
    </row>
    <row r="629" spans="4:14" x14ac:dyDescent="0.25">
      <c r="D629">
        <v>1628</v>
      </c>
      <c r="E629" s="4">
        <v>45717</v>
      </c>
      <c r="F629" t="s">
        <v>23</v>
      </c>
      <c r="G629" t="s">
        <v>29</v>
      </c>
      <c r="H629" t="s">
        <v>21</v>
      </c>
      <c r="I629" t="s">
        <v>34</v>
      </c>
      <c r="J629">
        <v>10</v>
      </c>
      <c r="K629" s="1">
        <v>30000</v>
      </c>
      <c r="L629" s="1">
        <f>Table1[[#This Row],[Unit Price]]*Table1[[#This Row],[Units]]</f>
        <v>300000</v>
      </c>
      <c r="M629" s="1">
        <v>87132</v>
      </c>
      <c r="N629" t="s">
        <v>19</v>
      </c>
    </row>
    <row r="630" spans="4:14" x14ac:dyDescent="0.25">
      <c r="D630">
        <v>1629</v>
      </c>
      <c r="E630" s="4">
        <v>45750</v>
      </c>
      <c r="F630" t="s">
        <v>20</v>
      </c>
      <c r="G630" t="s">
        <v>24</v>
      </c>
      <c r="H630" t="s">
        <v>31</v>
      </c>
      <c r="I630" t="s">
        <v>13</v>
      </c>
      <c r="J630">
        <v>6</v>
      </c>
      <c r="K630" s="1">
        <v>800</v>
      </c>
      <c r="L630" s="1">
        <f>Table1[[#This Row],[Unit Price]]*Table1[[#This Row],[Units]]</f>
        <v>4800</v>
      </c>
      <c r="M630" s="1">
        <v>1626</v>
      </c>
      <c r="N630" t="s">
        <v>14</v>
      </c>
    </row>
    <row r="631" spans="4:14" x14ac:dyDescent="0.25">
      <c r="D631">
        <v>1630</v>
      </c>
      <c r="E631" s="4">
        <v>45830</v>
      </c>
      <c r="F631" t="s">
        <v>27</v>
      </c>
      <c r="G631" t="s">
        <v>24</v>
      </c>
      <c r="H631" t="s">
        <v>35</v>
      </c>
      <c r="I631" t="s">
        <v>18</v>
      </c>
      <c r="J631">
        <v>2</v>
      </c>
      <c r="K631" s="1">
        <v>60000</v>
      </c>
      <c r="L631" s="1">
        <f>Table1[[#This Row],[Unit Price]]*Table1[[#This Row],[Units]]</f>
        <v>120000</v>
      </c>
      <c r="M631" s="1">
        <v>22328</v>
      </c>
      <c r="N631" t="s">
        <v>26</v>
      </c>
    </row>
    <row r="632" spans="4:14" x14ac:dyDescent="0.25">
      <c r="D632">
        <v>1631</v>
      </c>
      <c r="E632" s="4">
        <v>45822</v>
      </c>
      <c r="F632" t="s">
        <v>27</v>
      </c>
      <c r="G632" t="s">
        <v>11</v>
      </c>
      <c r="H632" t="s">
        <v>12</v>
      </c>
      <c r="I632" t="s">
        <v>18</v>
      </c>
      <c r="J632">
        <v>8</v>
      </c>
      <c r="K632" s="1">
        <v>60000</v>
      </c>
      <c r="L632" s="1">
        <f>Table1[[#This Row],[Unit Price]]*Table1[[#This Row],[Units]]</f>
        <v>480000</v>
      </c>
      <c r="M632" s="1">
        <v>149366</v>
      </c>
      <c r="N632" t="s">
        <v>19</v>
      </c>
    </row>
    <row r="633" spans="4:14" x14ac:dyDescent="0.25">
      <c r="D633">
        <v>1632</v>
      </c>
      <c r="E633" s="4">
        <v>45681</v>
      </c>
      <c r="F633" t="s">
        <v>10</v>
      </c>
      <c r="G633" t="s">
        <v>11</v>
      </c>
      <c r="H633" t="s">
        <v>31</v>
      </c>
      <c r="I633" t="s">
        <v>34</v>
      </c>
      <c r="J633">
        <v>7</v>
      </c>
      <c r="K633" s="1">
        <v>30000</v>
      </c>
      <c r="L633" s="1">
        <f>Table1[[#This Row],[Unit Price]]*Table1[[#This Row],[Units]]</f>
        <v>210000</v>
      </c>
      <c r="M633" s="1">
        <v>67882</v>
      </c>
      <c r="N633" t="s">
        <v>19</v>
      </c>
    </row>
    <row r="634" spans="4:14" x14ac:dyDescent="0.25">
      <c r="D634">
        <v>1633</v>
      </c>
      <c r="E634" s="4">
        <v>45804</v>
      </c>
      <c r="F634" t="s">
        <v>15</v>
      </c>
      <c r="G634" t="s">
        <v>24</v>
      </c>
      <c r="H634" t="s">
        <v>17</v>
      </c>
      <c r="I634" t="s">
        <v>18</v>
      </c>
      <c r="J634">
        <v>9</v>
      </c>
      <c r="K634" s="1">
        <v>60000</v>
      </c>
      <c r="L634" s="1">
        <f>Table1[[#This Row],[Unit Price]]*Table1[[#This Row],[Units]]</f>
        <v>540000</v>
      </c>
      <c r="M634" s="1">
        <v>177424</v>
      </c>
      <c r="N634" t="s">
        <v>19</v>
      </c>
    </row>
    <row r="635" spans="4:14" x14ac:dyDescent="0.25">
      <c r="D635">
        <v>1634</v>
      </c>
      <c r="E635" s="4">
        <v>45739</v>
      </c>
      <c r="F635" t="s">
        <v>23</v>
      </c>
      <c r="G635" t="s">
        <v>11</v>
      </c>
      <c r="H635" t="s">
        <v>17</v>
      </c>
      <c r="I635" t="s">
        <v>18</v>
      </c>
      <c r="J635">
        <v>9</v>
      </c>
      <c r="K635" s="1">
        <v>60000</v>
      </c>
      <c r="L635" s="1">
        <f>Table1[[#This Row],[Unit Price]]*Table1[[#This Row],[Units]]</f>
        <v>540000</v>
      </c>
      <c r="M635" s="1">
        <v>156698</v>
      </c>
      <c r="N635" t="s">
        <v>19</v>
      </c>
    </row>
    <row r="636" spans="4:14" x14ac:dyDescent="0.25">
      <c r="D636">
        <v>1635</v>
      </c>
      <c r="E636" s="4">
        <v>45812</v>
      </c>
      <c r="F636" t="s">
        <v>27</v>
      </c>
      <c r="G636" t="s">
        <v>24</v>
      </c>
      <c r="H636" t="s">
        <v>12</v>
      </c>
      <c r="I636" t="s">
        <v>22</v>
      </c>
      <c r="J636">
        <v>5</v>
      </c>
      <c r="K636" s="1">
        <v>15000</v>
      </c>
      <c r="L636" s="1">
        <f>Table1[[#This Row],[Unit Price]]*Table1[[#This Row],[Units]]</f>
        <v>75000</v>
      </c>
      <c r="M636" s="1">
        <v>18482</v>
      </c>
      <c r="N636" t="s">
        <v>26</v>
      </c>
    </row>
    <row r="637" spans="4:14" x14ac:dyDescent="0.25">
      <c r="D637">
        <v>1636</v>
      </c>
      <c r="E637" s="4">
        <v>45692</v>
      </c>
      <c r="F637" t="s">
        <v>32</v>
      </c>
      <c r="G637" t="s">
        <v>11</v>
      </c>
      <c r="H637" t="s">
        <v>17</v>
      </c>
      <c r="I637" t="s">
        <v>28</v>
      </c>
      <c r="J637">
        <v>1</v>
      </c>
      <c r="K637" s="1">
        <v>2000</v>
      </c>
      <c r="L637" s="1">
        <f>Table1[[#This Row],[Unit Price]]*Table1[[#This Row],[Units]]</f>
        <v>2000</v>
      </c>
      <c r="M637" s="1">
        <v>324</v>
      </c>
      <c r="N637" t="s">
        <v>14</v>
      </c>
    </row>
    <row r="638" spans="4:14" x14ac:dyDescent="0.25">
      <c r="D638">
        <v>1637</v>
      </c>
      <c r="E638" s="4">
        <v>45699</v>
      </c>
      <c r="F638" t="s">
        <v>32</v>
      </c>
      <c r="G638" t="s">
        <v>29</v>
      </c>
      <c r="H638" t="s">
        <v>21</v>
      </c>
      <c r="I638" t="s">
        <v>13</v>
      </c>
      <c r="J638">
        <v>2</v>
      </c>
      <c r="K638" s="1">
        <v>800</v>
      </c>
      <c r="L638" s="1">
        <f>Table1[[#This Row],[Unit Price]]*Table1[[#This Row],[Units]]</f>
        <v>1600</v>
      </c>
      <c r="M638" s="1">
        <v>301</v>
      </c>
      <c r="N638" t="s">
        <v>14</v>
      </c>
    </row>
    <row r="639" spans="4:14" x14ac:dyDescent="0.25">
      <c r="D639">
        <v>1638</v>
      </c>
      <c r="E639" s="4">
        <v>45746</v>
      </c>
      <c r="F639" t="s">
        <v>23</v>
      </c>
      <c r="G639" t="s">
        <v>11</v>
      </c>
      <c r="H639" t="s">
        <v>25</v>
      </c>
      <c r="I639" t="s">
        <v>22</v>
      </c>
      <c r="J639">
        <v>8</v>
      </c>
      <c r="K639" s="1">
        <v>15000</v>
      </c>
      <c r="L639" s="1">
        <f>Table1[[#This Row],[Unit Price]]*Table1[[#This Row],[Units]]</f>
        <v>120000</v>
      </c>
      <c r="M639" s="1">
        <v>28897</v>
      </c>
      <c r="N639" t="s">
        <v>26</v>
      </c>
    </row>
    <row r="640" spans="4:14" x14ac:dyDescent="0.25">
      <c r="D640">
        <v>1639</v>
      </c>
      <c r="E640" s="4">
        <v>45667</v>
      </c>
      <c r="F640" t="s">
        <v>10</v>
      </c>
      <c r="G640" t="s">
        <v>29</v>
      </c>
      <c r="H640" t="s">
        <v>21</v>
      </c>
      <c r="I640" t="s">
        <v>18</v>
      </c>
      <c r="J640">
        <v>5</v>
      </c>
      <c r="K640" s="1">
        <v>60000</v>
      </c>
      <c r="L640" s="1">
        <f>Table1[[#This Row],[Unit Price]]*Table1[[#This Row],[Units]]</f>
        <v>300000</v>
      </c>
      <c r="M640" s="1">
        <v>102969</v>
      </c>
      <c r="N640" t="s">
        <v>19</v>
      </c>
    </row>
    <row r="641" spans="4:14" x14ac:dyDescent="0.25">
      <c r="D641">
        <v>1640</v>
      </c>
      <c r="E641" s="4">
        <v>45727</v>
      </c>
      <c r="F641" t="s">
        <v>23</v>
      </c>
      <c r="G641" t="s">
        <v>11</v>
      </c>
      <c r="H641" t="s">
        <v>35</v>
      </c>
      <c r="I641" t="s">
        <v>34</v>
      </c>
      <c r="J641">
        <v>3</v>
      </c>
      <c r="K641" s="1">
        <v>30000</v>
      </c>
      <c r="L641" s="1">
        <f>Table1[[#This Row],[Unit Price]]*Table1[[#This Row],[Units]]</f>
        <v>90000</v>
      </c>
      <c r="M641" s="1">
        <v>29790</v>
      </c>
      <c r="N641" t="s">
        <v>26</v>
      </c>
    </row>
    <row r="642" spans="4:14" x14ac:dyDescent="0.25">
      <c r="D642">
        <v>1641</v>
      </c>
      <c r="E642" s="4">
        <v>45803</v>
      </c>
      <c r="F642" t="s">
        <v>15</v>
      </c>
      <c r="G642" t="s">
        <v>16</v>
      </c>
      <c r="H642" t="s">
        <v>35</v>
      </c>
      <c r="I642" t="s">
        <v>34</v>
      </c>
      <c r="J642">
        <v>2</v>
      </c>
      <c r="K642" s="1">
        <v>30000</v>
      </c>
      <c r="L642" s="1">
        <f>Table1[[#This Row],[Unit Price]]*Table1[[#This Row],[Units]]</f>
        <v>60000</v>
      </c>
      <c r="M642" s="1">
        <v>15378</v>
      </c>
      <c r="N642" t="s">
        <v>26</v>
      </c>
    </row>
    <row r="643" spans="4:14" x14ac:dyDescent="0.25">
      <c r="D643">
        <v>1642</v>
      </c>
      <c r="E643" s="4">
        <v>45671</v>
      </c>
      <c r="F643" t="s">
        <v>10</v>
      </c>
      <c r="G643" t="s">
        <v>16</v>
      </c>
      <c r="H643" t="s">
        <v>12</v>
      </c>
      <c r="I643" t="s">
        <v>22</v>
      </c>
      <c r="J643">
        <v>10</v>
      </c>
      <c r="K643" s="1">
        <v>15000</v>
      </c>
      <c r="L643" s="1">
        <f>Table1[[#This Row],[Unit Price]]*Table1[[#This Row],[Units]]</f>
        <v>150000</v>
      </c>
      <c r="M643" s="1">
        <v>37845</v>
      </c>
      <c r="N643" t="s">
        <v>26</v>
      </c>
    </row>
    <row r="644" spans="4:14" x14ac:dyDescent="0.25">
      <c r="D644">
        <v>1643</v>
      </c>
      <c r="E644" s="4">
        <v>45726</v>
      </c>
      <c r="F644" t="s">
        <v>23</v>
      </c>
      <c r="G644" t="s">
        <v>11</v>
      </c>
      <c r="H644" t="s">
        <v>21</v>
      </c>
      <c r="I644" t="s">
        <v>34</v>
      </c>
      <c r="J644">
        <v>8</v>
      </c>
      <c r="K644" s="1">
        <v>30000</v>
      </c>
      <c r="L644" s="1">
        <f>Table1[[#This Row],[Unit Price]]*Table1[[#This Row],[Units]]</f>
        <v>240000</v>
      </c>
      <c r="M644" s="1">
        <v>79989</v>
      </c>
      <c r="N644" t="s">
        <v>19</v>
      </c>
    </row>
    <row r="645" spans="4:14" x14ac:dyDescent="0.25">
      <c r="D645">
        <v>1644</v>
      </c>
      <c r="E645" s="4">
        <v>45661</v>
      </c>
      <c r="F645" t="s">
        <v>10</v>
      </c>
      <c r="G645" t="s">
        <v>29</v>
      </c>
      <c r="H645" t="s">
        <v>33</v>
      </c>
      <c r="I645" t="s">
        <v>18</v>
      </c>
      <c r="J645">
        <v>8</v>
      </c>
      <c r="K645" s="1">
        <v>60000</v>
      </c>
      <c r="L645" s="1">
        <f>Table1[[#This Row],[Unit Price]]*Table1[[#This Row],[Units]]</f>
        <v>480000</v>
      </c>
      <c r="M645" s="1">
        <v>76526</v>
      </c>
      <c r="N645" t="s">
        <v>19</v>
      </c>
    </row>
    <row r="646" spans="4:14" x14ac:dyDescent="0.25">
      <c r="D646">
        <v>1645</v>
      </c>
      <c r="E646" s="4">
        <v>45791</v>
      </c>
      <c r="F646" t="s">
        <v>15</v>
      </c>
      <c r="G646" t="s">
        <v>29</v>
      </c>
      <c r="H646" t="s">
        <v>33</v>
      </c>
      <c r="I646" t="s">
        <v>18</v>
      </c>
      <c r="J646">
        <v>2</v>
      </c>
      <c r="K646" s="1">
        <v>60000</v>
      </c>
      <c r="L646" s="1">
        <f>Table1[[#This Row],[Unit Price]]*Table1[[#This Row],[Units]]</f>
        <v>120000</v>
      </c>
      <c r="M646" s="1">
        <v>19993</v>
      </c>
      <c r="N646" t="s">
        <v>26</v>
      </c>
    </row>
    <row r="647" spans="4:14" x14ac:dyDescent="0.25">
      <c r="D647">
        <v>1646</v>
      </c>
      <c r="E647" s="4">
        <v>45801</v>
      </c>
      <c r="F647" t="s">
        <v>15</v>
      </c>
      <c r="G647" t="s">
        <v>16</v>
      </c>
      <c r="H647" t="s">
        <v>30</v>
      </c>
      <c r="I647" t="s">
        <v>18</v>
      </c>
      <c r="J647">
        <v>8</v>
      </c>
      <c r="K647" s="1">
        <v>60000</v>
      </c>
      <c r="L647" s="1">
        <f>Table1[[#This Row],[Unit Price]]*Table1[[#This Row],[Units]]</f>
        <v>480000</v>
      </c>
      <c r="M647" s="1">
        <v>155180</v>
      </c>
      <c r="N647" t="s">
        <v>19</v>
      </c>
    </row>
    <row r="648" spans="4:14" x14ac:dyDescent="0.25">
      <c r="D648">
        <v>1647</v>
      </c>
      <c r="E648" s="4">
        <v>45768</v>
      </c>
      <c r="F648" t="s">
        <v>20</v>
      </c>
      <c r="G648" t="s">
        <v>11</v>
      </c>
      <c r="H648" t="s">
        <v>12</v>
      </c>
      <c r="I648" t="s">
        <v>13</v>
      </c>
      <c r="J648">
        <v>6</v>
      </c>
      <c r="K648" s="1">
        <v>800</v>
      </c>
      <c r="L648" s="1">
        <f>Table1[[#This Row],[Unit Price]]*Table1[[#This Row],[Units]]</f>
        <v>4800</v>
      </c>
      <c r="M648" s="1">
        <v>794</v>
      </c>
      <c r="N648" t="s">
        <v>14</v>
      </c>
    </row>
    <row r="649" spans="4:14" x14ac:dyDescent="0.25">
      <c r="D649">
        <v>1648</v>
      </c>
      <c r="E649" s="4">
        <v>45823</v>
      </c>
      <c r="F649" t="s">
        <v>27</v>
      </c>
      <c r="G649" t="s">
        <v>29</v>
      </c>
      <c r="H649" t="s">
        <v>17</v>
      </c>
      <c r="I649" t="s">
        <v>22</v>
      </c>
      <c r="J649">
        <v>5</v>
      </c>
      <c r="K649" s="1">
        <v>15000</v>
      </c>
      <c r="L649" s="1">
        <f>Table1[[#This Row],[Unit Price]]*Table1[[#This Row],[Units]]</f>
        <v>75000</v>
      </c>
      <c r="M649" s="1">
        <v>13184</v>
      </c>
      <c r="N649" t="s">
        <v>26</v>
      </c>
    </row>
    <row r="650" spans="4:14" x14ac:dyDescent="0.25">
      <c r="D650">
        <v>1649</v>
      </c>
      <c r="E650" s="4">
        <v>45685</v>
      </c>
      <c r="F650" t="s">
        <v>10</v>
      </c>
      <c r="G650" t="s">
        <v>11</v>
      </c>
      <c r="H650" t="s">
        <v>33</v>
      </c>
      <c r="I650" t="s">
        <v>22</v>
      </c>
      <c r="J650">
        <v>6</v>
      </c>
      <c r="K650" s="1">
        <v>15000</v>
      </c>
      <c r="L650" s="1">
        <f>Table1[[#This Row],[Unit Price]]*Table1[[#This Row],[Units]]</f>
        <v>90000</v>
      </c>
      <c r="M650" s="1">
        <v>22158</v>
      </c>
      <c r="N650" t="s">
        <v>26</v>
      </c>
    </row>
    <row r="651" spans="4:14" x14ac:dyDescent="0.25">
      <c r="D651">
        <v>1650</v>
      </c>
      <c r="E651" s="4">
        <v>45785</v>
      </c>
      <c r="F651" t="s">
        <v>15</v>
      </c>
      <c r="G651" t="s">
        <v>29</v>
      </c>
      <c r="H651" t="s">
        <v>21</v>
      </c>
      <c r="I651" t="s">
        <v>28</v>
      </c>
      <c r="J651">
        <v>4</v>
      </c>
      <c r="K651" s="1">
        <v>2000</v>
      </c>
      <c r="L651" s="1">
        <f>Table1[[#This Row],[Unit Price]]*Table1[[#This Row],[Units]]</f>
        <v>8000</v>
      </c>
      <c r="M651" s="1">
        <v>2448</v>
      </c>
      <c r="N651" t="s">
        <v>14</v>
      </c>
    </row>
    <row r="652" spans="4:14" x14ac:dyDescent="0.25">
      <c r="D652">
        <v>1651</v>
      </c>
      <c r="E652" s="4">
        <v>45826</v>
      </c>
      <c r="F652" t="s">
        <v>27</v>
      </c>
      <c r="G652" t="s">
        <v>16</v>
      </c>
      <c r="H652" t="s">
        <v>31</v>
      </c>
      <c r="I652" t="s">
        <v>28</v>
      </c>
      <c r="J652">
        <v>10</v>
      </c>
      <c r="K652" s="1">
        <v>2000</v>
      </c>
      <c r="L652" s="1">
        <f>Table1[[#This Row],[Unit Price]]*Table1[[#This Row],[Units]]</f>
        <v>20000</v>
      </c>
      <c r="M652" s="1">
        <v>5306</v>
      </c>
      <c r="N652" t="s">
        <v>14</v>
      </c>
    </row>
    <row r="653" spans="4:14" x14ac:dyDescent="0.25">
      <c r="D653">
        <v>1652</v>
      </c>
      <c r="E653" s="4">
        <v>45820</v>
      </c>
      <c r="F653" t="s">
        <v>27</v>
      </c>
      <c r="G653" t="s">
        <v>16</v>
      </c>
      <c r="H653" t="s">
        <v>25</v>
      </c>
      <c r="I653" t="s">
        <v>18</v>
      </c>
      <c r="J653">
        <v>3</v>
      </c>
      <c r="K653" s="1">
        <v>60000</v>
      </c>
      <c r="L653" s="1">
        <f>Table1[[#This Row],[Unit Price]]*Table1[[#This Row],[Units]]</f>
        <v>180000</v>
      </c>
      <c r="M653" s="1">
        <v>36741</v>
      </c>
      <c r="N653" t="s">
        <v>26</v>
      </c>
    </row>
    <row r="654" spans="4:14" x14ac:dyDescent="0.25">
      <c r="D654">
        <v>1653</v>
      </c>
      <c r="E654" s="4">
        <v>45692</v>
      </c>
      <c r="F654" t="s">
        <v>32</v>
      </c>
      <c r="G654" t="s">
        <v>24</v>
      </c>
      <c r="H654" t="s">
        <v>35</v>
      </c>
      <c r="I654" t="s">
        <v>22</v>
      </c>
      <c r="J654">
        <v>3</v>
      </c>
      <c r="K654" s="1">
        <v>15000</v>
      </c>
      <c r="L654" s="1">
        <f>Table1[[#This Row],[Unit Price]]*Table1[[#This Row],[Units]]</f>
        <v>45000</v>
      </c>
      <c r="M654" s="1">
        <v>8581</v>
      </c>
      <c r="N654" t="s">
        <v>14</v>
      </c>
    </row>
    <row r="655" spans="4:14" x14ac:dyDescent="0.25">
      <c r="D655">
        <v>1654</v>
      </c>
      <c r="E655" s="4">
        <v>45831</v>
      </c>
      <c r="F655" t="s">
        <v>27</v>
      </c>
      <c r="G655" t="s">
        <v>16</v>
      </c>
      <c r="H655" t="s">
        <v>21</v>
      </c>
      <c r="I655" t="s">
        <v>18</v>
      </c>
      <c r="J655">
        <v>4</v>
      </c>
      <c r="K655" s="1">
        <v>60000</v>
      </c>
      <c r="L655" s="1">
        <f>Table1[[#This Row],[Unit Price]]*Table1[[#This Row],[Units]]</f>
        <v>240000</v>
      </c>
      <c r="M655" s="1">
        <v>53370</v>
      </c>
      <c r="N655" t="s">
        <v>19</v>
      </c>
    </row>
    <row r="656" spans="4:14" x14ac:dyDescent="0.25">
      <c r="D656">
        <v>1655</v>
      </c>
      <c r="E656" s="4">
        <v>45808</v>
      </c>
      <c r="F656" t="s">
        <v>15</v>
      </c>
      <c r="G656" t="s">
        <v>29</v>
      </c>
      <c r="H656" t="s">
        <v>17</v>
      </c>
      <c r="I656" t="s">
        <v>28</v>
      </c>
      <c r="J656">
        <v>5</v>
      </c>
      <c r="K656" s="1">
        <v>2000</v>
      </c>
      <c r="L656" s="1">
        <f>Table1[[#This Row],[Unit Price]]*Table1[[#This Row],[Units]]</f>
        <v>10000</v>
      </c>
      <c r="M656" s="1">
        <v>3367</v>
      </c>
      <c r="N656" t="s">
        <v>14</v>
      </c>
    </row>
    <row r="657" spans="4:14" x14ac:dyDescent="0.25">
      <c r="D657">
        <v>1656</v>
      </c>
      <c r="E657" s="4">
        <v>45704</v>
      </c>
      <c r="F657" t="s">
        <v>32</v>
      </c>
      <c r="G657" t="s">
        <v>11</v>
      </c>
      <c r="H657" t="s">
        <v>17</v>
      </c>
      <c r="I657" t="s">
        <v>13</v>
      </c>
      <c r="J657">
        <v>5</v>
      </c>
      <c r="K657" s="1">
        <v>800</v>
      </c>
      <c r="L657" s="1">
        <f>Table1[[#This Row],[Unit Price]]*Table1[[#This Row],[Units]]</f>
        <v>4000</v>
      </c>
      <c r="M657" s="1">
        <v>1192</v>
      </c>
      <c r="N657" t="s">
        <v>14</v>
      </c>
    </row>
    <row r="658" spans="4:14" x14ac:dyDescent="0.25">
      <c r="D658">
        <v>1657</v>
      </c>
      <c r="E658" s="4">
        <v>45707</v>
      </c>
      <c r="F658" t="s">
        <v>32</v>
      </c>
      <c r="G658" t="s">
        <v>29</v>
      </c>
      <c r="H658" t="s">
        <v>30</v>
      </c>
      <c r="I658" t="s">
        <v>18</v>
      </c>
      <c r="J658">
        <v>10</v>
      </c>
      <c r="K658" s="1">
        <v>60000</v>
      </c>
      <c r="L658" s="1">
        <f>Table1[[#This Row],[Unit Price]]*Table1[[#This Row],[Units]]</f>
        <v>600000</v>
      </c>
      <c r="M658" s="1">
        <v>146908</v>
      </c>
      <c r="N658" t="s">
        <v>19</v>
      </c>
    </row>
    <row r="659" spans="4:14" x14ac:dyDescent="0.25">
      <c r="D659">
        <v>1658</v>
      </c>
      <c r="E659" s="4">
        <v>45749</v>
      </c>
      <c r="F659" t="s">
        <v>20</v>
      </c>
      <c r="G659" t="s">
        <v>11</v>
      </c>
      <c r="H659" t="s">
        <v>33</v>
      </c>
      <c r="I659" t="s">
        <v>28</v>
      </c>
      <c r="J659">
        <v>6</v>
      </c>
      <c r="K659" s="1">
        <v>2000</v>
      </c>
      <c r="L659" s="1">
        <f>Table1[[#This Row],[Unit Price]]*Table1[[#This Row],[Units]]</f>
        <v>12000</v>
      </c>
      <c r="M659" s="1">
        <v>3939</v>
      </c>
      <c r="N659" t="s">
        <v>14</v>
      </c>
    </row>
    <row r="660" spans="4:14" x14ac:dyDescent="0.25">
      <c r="D660">
        <v>1659</v>
      </c>
      <c r="E660" s="4">
        <v>45693</v>
      </c>
      <c r="F660" t="s">
        <v>32</v>
      </c>
      <c r="G660" t="s">
        <v>11</v>
      </c>
      <c r="H660" t="s">
        <v>17</v>
      </c>
      <c r="I660" t="s">
        <v>22</v>
      </c>
      <c r="J660">
        <v>7</v>
      </c>
      <c r="K660" s="1">
        <v>15000</v>
      </c>
      <c r="L660" s="1">
        <f>Table1[[#This Row],[Unit Price]]*Table1[[#This Row],[Units]]</f>
        <v>105000</v>
      </c>
      <c r="M660" s="1">
        <v>33966</v>
      </c>
      <c r="N660" t="s">
        <v>26</v>
      </c>
    </row>
    <row r="661" spans="4:14" x14ac:dyDescent="0.25">
      <c r="D661">
        <v>1660</v>
      </c>
      <c r="E661" s="4">
        <v>45798</v>
      </c>
      <c r="F661" t="s">
        <v>15</v>
      </c>
      <c r="G661" t="s">
        <v>24</v>
      </c>
      <c r="H661" t="s">
        <v>31</v>
      </c>
      <c r="I661" t="s">
        <v>28</v>
      </c>
      <c r="J661">
        <v>1</v>
      </c>
      <c r="K661" s="1">
        <v>2000</v>
      </c>
      <c r="L661" s="1">
        <f>Table1[[#This Row],[Unit Price]]*Table1[[#This Row],[Units]]</f>
        <v>2000</v>
      </c>
      <c r="M661" s="1">
        <v>697</v>
      </c>
      <c r="N661" t="s">
        <v>14</v>
      </c>
    </row>
    <row r="662" spans="4:14" x14ac:dyDescent="0.25">
      <c r="D662">
        <v>1661</v>
      </c>
      <c r="E662" s="4">
        <v>45738</v>
      </c>
      <c r="F662" t="s">
        <v>23</v>
      </c>
      <c r="G662" t="s">
        <v>16</v>
      </c>
      <c r="H662" t="s">
        <v>30</v>
      </c>
      <c r="I662" t="s">
        <v>18</v>
      </c>
      <c r="J662">
        <v>2</v>
      </c>
      <c r="K662" s="1">
        <v>60000</v>
      </c>
      <c r="L662" s="1">
        <f>Table1[[#This Row],[Unit Price]]*Table1[[#This Row],[Units]]</f>
        <v>120000</v>
      </c>
      <c r="M662" s="1">
        <v>39828</v>
      </c>
      <c r="N662" t="s">
        <v>26</v>
      </c>
    </row>
    <row r="663" spans="4:14" x14ac:dyDescent="0.25">
      <c r="D663">
        <v>1662</v>
      </c>
      <c r="E663" s="4">
        <v>45757</v>
      </c>
      <c r="F663" t="s">
        <v>20</v>
      </c>
      <c r="G663" t="s">
        <v>11</v>
      </c>
      <c r="H663" t="s">
        <v>30</v>
      </c>
      <c r="I663" t="s">
        <v>28</v>
      </c>
      <c r="J663">
        <v>2</v>
      </c>
      <c r="K663" s="1">
        <v>2000</v>
      </c>
      <c r="L663" s="1">
        <f>Table1[[#This Row],[Unit Price]]*Table1[[#This Row],[Units]]</f>
        <v>4000</v>
      </c>
      <c r="M663" s="1">
        <v>1297</v>
      </c>
      <c r="N663" t="s">
        <v>14</v>
      </c>
    </row>
    <row r="664" spans="4:14" x14ac:dyDescent="0.25">
      <c r="D664">
        <v>1663</v>
      </c>
      <c r="E664" s="4">
        <v>45677</v>
      </c>
      <c r="F664" t="s">
        <v>10</v>
      </c>
      <c r="G664" t="s">
        <v>24</v>
      </c>
      <c r="H664" t="s">
        <v>17</v>
      </c>
      <c r="I664" t="s">
        <v>28</v>
      </c>
      <c r="J664">
        <v>9</v>
      </c>
      <c r="K664" s="1">
        <v>2000</v>
      </c>
      <c r="L664" s="1">
        <f>Table1[[#This Row],[Unit Price]]*Table1[[#This Row],[Units]]</f>
        <v>18000</v>
      </c>
      <c r="M664" s="1">
        <v>3929</v>
      </c>
      <c r="N664" t="s">
        <v>14</v>
      </c>
    </row>
    <row r="665" spans="4:14" x14ac:dyDescent="0.25">
      <c r="D665">
        <v>1664</v>
      </c>
      <c r="E665" s="4">
        <v>45724</v>
      </c>
      <c r="F665" t="s">
        <v>23</v>
      </c>
      <c r="G665" t="s">
        <v>16</v>
      </c>
      <c r="H665" t="s">
        <v>17</v>
      </c>
      <c r="I665" t="s">
        <v>13</v>
      </c>
      <c r="J665">
        <v>4</v>
      </c>
      <c r="K665" s="1">
        <v>800</v>
      </c>
      <c r="L665" s="1">
        <f>Table1[[#This Row],[Unit Price]]*Table1[[#This Row],[Units]]</f>
        <v>3200</v>
      </c>
      <c r="M665" s="1">
        <v>986</v>
      </c>
      <c r="N665" t="s">
        <v>14</v>
      </c>
    </row>
    <row r="666" spans="4:14" x14ac:dyDescent="0.25">
      <c r="D666">
        <v>1665</v>
      </c>
      <c r="E666" s="4">
        <v>45832</v>
      </c>
      <c r="F666" t="s">
        <v>27</v>
      </c>
      <c r="G666" t="s">
        <v>24</v>
      </c>
      <c r="H666" t="s">
        <v>17</v>
      </c>
      <c r="I666" t="s">
        <v>13</v>
      </c>
      <c r="J666">
        <v>4</v>
      </c>
      <c r="K666" s="1">
        <v>800</v>
      </c>
      <c r="L666" s="1">
        <f>Table1[[#This Row],[Unit Price]]*Table1[[#This Row],[Units]]</f>
        <v>3200</v>
      </c>
      <c r="M666" s="1">
        <v>1089</v>
      </c>
      <c r="N666" t="s">
        <v>14</v>
      </c>
    </row>
    <row r="667" spans="4:14" x14ac:dyDescent="0.25">
      <c r="D667">
        <v>1666</v>
      </c>
      <c r="E667" s="4">
        <v>45681</v>
      </c>
      <c r="F667" t="s">
        <v>10</v>
      </c>
      <c r="G667" t="s">
        <v>29</v>
      </c>
      <c r="H667" t="s">
        <v>21</v>
      </c>
      <c r="I667" t="s">
        <v>18</v>
      </c>
      <c r="J667">
        <v>6</v>
      </c>
      <c r="K667" s="1">
        <v>60000</v>
      </c>
      <c r="L667" s="1">
        <f>Table1[[#This Row],[Unit Price]]*Table1[[#This Row],[Units]]</f>
        <v>360000</v>
      </c>
      <c r="M667" s="1">
        <v>121728</v>
      </c>
      <c r="N667" t="s">
        <v>19</v>
      </c>
    </row>
    <row r="668" spans="4:14" x14ac:dyDescent="0.25">
      <c r="D668">
        <v>1667</v>
      </c>
      <c r="E668" s="4">
        <v>45833</v>
      </c>
      <c r="F668" t="s">
        <v>27</v>
      </c>
      <c r="G668" t="s">
        <v>11</v>
      </c>
      <c r="H668" t="s">
        <v>35</v>
      </c>
      <c r="I668" t="s">
        <v>34</v>
      </c>
      <c r="J668">
        <v>5</v>
      </c>
      <c r="K668" s="1">
        <v>30000</v>
      </c>
      <c r="L668" s="1">
        <f>Table1[[#This Row],[Unit Price]]*Table1[[#This Row],[Units]]</f>
        <v>150000</v>
      </c>
      <c r="M668" s="1">
        <v>37852</v>
      </c>
      <c r="N668" t="s">
        <v>26</v>
      </c>
    </row>
    <row r="669" spans="4:14" x14ac:dyDescent="0.25">
      <c r="D669">
        <v>1668</v>
      </c>
      <c r="E669" s="4">
        <v>45826</v>
      </c>
      <c r="F669" t="s">
        <v>27</v>
      </c>
      <c r="G669" t="s">
        <v>29</v>
      </c>
      <c r="H669" t="s">
        <v>31</v>
      </c>
      <c r="I669" t="s">
        <v>34</v>
      </c>
      <c r="J669">
        <v>1</v>
      </c>
      <c r="K669" s="1">
        <v>30000</v>
      </c>
      <c r="L669" s="1">
        <f>Table1[[#This Row],[Unit Price]]*Table1[[#This Row],[Units]]</f>
        <v>30000</v>
      </c>
      <c r="M669" s="1">
        <v>6920</v>
      </c>
      <c r="N669" t="s">
        <v>14</v>
      </c>
    </row>
    <row r="670" spans="4:14" x14ac:dyDescent="0.25">
      <c r="D670">
        <v>1669</v>
      </c>
      <c r="E670" s="4">
        <v>45707</v>
      </c>
      <c r="F670" t="s">
        <v>32</v>
      </c>
      <c r="G670" t="s">
        <v>11</v>
      </c>
      <c r="H670" t="s">
        <v>17</v>
      </c>
      <c r="I670" t="s">
        <v>18</v>
      </c>
      <c r="J670">
        <v>3</v>
      </c>
      <c r="K670" s="1">
        <v>60000</v>
      </c>
      <c r="L670" s="1">
        <f>Table1[[#This Row],[Unit Price]]*Table1[[#This Row],[Units]]</f>
        <v>180000</v>
      </c>
      <c r="M670" s="1">
        <v>38242</v>
      </c>
      <c r="N670" t="s">
        <v>26</v>
      </c>
    </row>
    <row r="671" spans="4:14" x14ac:dyDescent="0.25">
      <c r="D671">
        <v>1670</v>
      </c>
      <c r="E671" s="4">
        <v>45776</v>
      </c>
      <c r="F671" t="s">
        <v>20</v>
      </c>
      <c r="G671" t="s">
        <v>29</v>
      </c>
      <c r="H671" t="s">
        <v>21</v>
      </c>
      <c r="I671" t="s">
        <v>13</v>
      </c>
      <c r="J671">
        <v>6</v>
      </c>
      <c r="K671" s="1">
        <v>800</v>
      </c>
      <c r="L671" s="1">
        <f>Table1[[#This Row],[Unit Price]]*Table1[[#This Row],[Units]]</f>
        <v>4800</v>
      </c>
      <c r="M671" s="1">
        <v>1616</v>
      </c>
      <c r="N671" t="s">
        <v>14</v>
      </c>
    </row>
    <row r="672" spans="4:14" x14ac:dyDescent="0.25">
      <c r="D672">
        <v>1671</v>
      </c>
      <c r="E672" s="4">
        <v>45673</v>
      </c>
      <c r="F672" t="s">
        <v>10</v>
      </c>
      <c r="G672" t="s">
        <v>29</v>
      </c>
      <c r="H672" t="s">
        <v>21</v>
      </c>
      <c r="I672" t="s">
        <v>22</v>
      </c>
      <c r="J672">
        <v>4</v>
      </c>
      <c r="K672" s="1">
        <v>15000</v>
      </c>
      <c r="L672" s="1">
        <f>Table1[[#This Row],[Unit Price]]*Table1[[#This Row],[Units]]</f>
        <v>60000</v>
      </c>
      <c r="M672" s="1">
        <v>13400</v>
      </c>
      <c r="N672" t="s">
        <v>26</v>
      </c>
    </row>
    <row r="673" spans="4:14" x14ac:dyDescent="0.25">
      <c r="D673">
        <v>1672</v>
      </c>
      <c r="E673" s="4">
        <v>45767</v>
      </c>
      <c r="F673" t="s">
        <v>20</v>
      </c>
      <c r="G673" t="s">
        <v>16</v>
      </c>
      <c r="H673" t="s">
        <v>31</v>
      </c>
      <c r="I673" t="s">
        <v>18</v>
      </c>
      <c r="J673">
        <v>6</v>
      </c>
      <c r="K673" s="1">
        <v>60000</v>
      </c>
      <c r="L673" s="1">
        <f>Table1[[#This Row],[Unit Price]]*Table1[[#This Row],[Units]]</f>
        <v>360000</v>
      </c>
      <c r="M673" s="1">
        <v>73650</v>
      </c>
      <c r="N673" t="s">
        <v>19</v>
      </c>
    </row>
    <row r="674" spans="4:14" x14ac:dyDescent="0.25">
      <c r="D674">
        <v>1673</v>
      </c>
      <c r="E674" s="4">
        <v>45718</v>
      </c>
      <c r="F674" t="s">
        <v>23</v>
      </c>
      <c r="G674" t="s">
        <v>29</v>
      </c>
      <c r="H674" t="s">
        <v>30</v>
      </c>
      <c r="I674" t="s">
        <v>22</v>
      </c>
      <c r="J674">
        <v>8</v>
      </c>
      <c r="K674" s="1">
        <v>15000</v>
      </c>
      <c r="L674" s="1">
        <f>Table1[[#This Row],[Unit Price]]*Table1[[#This Row],[Units]]</f>
        <v>120000</v>
      </c>
      <c r="M674" s="1">
        <v>27393</v>
      </c>
      <c r="N674" t="s">
        <v>26</v>
      </c>
    </row>
    <row r="675" spans="4:14" x14ac:dyDescent="0.25">
      <c r="D675">
        <v>1674</v>
      </c>
      <c r="E675" s="4">
        <v>45809</v>
      </c>
      <c r="F675" t="s">
        <v>27</v>
      </c>
      <c r="G675" t="s">
        <v>11</v>
      </c>
      <c r="H675" t="s">
        <v>17</v>
      </c>
      <c r="I675" t="s">
        <v>28</v>
      </c>
      <c r="J675">
        <v>7</v>
      </c>
      <c r="K675" s="1">
        <v>2000</v>
      </c>
      <c r="L675" s="1">
        <f>Table1[[#This Row],[Unit Price]]*Table1[[#This Row],[Units]]</f>
        <v>14000</v>
      </c>
      <c r="M675" s="1">
        <v>2288</v>
      </c>
      <c r="N675" t="s">
        <v>14</v>
      </c>
    </row>
    <row r="676" spans="4:14" x14ac:dyDescent="0.25">
      <c r="D676">
        <v>1675</v>
      </c>
      <c r="E676" s="4">
        <v>45805</v>
      </c>
      <c r="F676" t="s">
        <v>15</v>
      </c>
      <c r="G676" t="s">
        <v>24</v>
      </c>
      <c r="H676" t="s">
        <v>12</v>
      </c>
      <c r="I676" t="s">
        <v>28</v>
      </c>
      <c r="J676">
        <v>9</v>
      </c>
      <c r="K676" s="1">
        <v>2000</v>
      </c>
      <c r="L676" s="1">
        <f>Table1[[#This Row],[Unit Price]]*Table1[[#This Row],[Units]]</f>
        <v>18000</v>
      </c>
      <c r="M676" s="1">
        <v>4042</v>
      </c>
      <c r="N676" t="s">
        <v>14</v>
      </c>
    </row>
    <row r="677" spans="4:14" x14ac:dyDescent="0.25">
      <c r="D677">
        <v>1676</v>
      </c>
      <c r="E677" s="4">
        <v>45683</v>
      </c>
      <c r="F677" t="s">
        <v>10</v>
      </c>
      <c r="G677" t="s">
        <v>11</v>
      </c>
      <c r="H677" t="s">
        <v>17</v>
      </c>
      <c r="I677" t="s">
        <v>34</v>
      </c>
      <c r="J677">
        <v>7</v>
      </c>
      <c r="K677" s="1">
        <v>30000</v>
      </c>
      <c r="L677" s="1">
        <f>Table1[[#This Row],[Unit Price]]*Table1[[#This Row],[Units]]</f>
        <v>210000</v>
      </c>
      <c r="M677" s="1">
        <v>36511</v>
      </c>
      <c r="N677" t="s">
        <v>19</v>
      </c>
    </row>
    <row r="678" spans="4:14" x14ac:dyDescent="0.25">
      <c r="D678">
        <v>1677</v>
      </c>
      <c r="E678" s="4">
        <v>45662</v>
      </c>
      <c r="F678" t="s">
        <v>10</v>
      </c>
      <c r="G678" t="s">
        <v>16</v>
      </c>
      <c r="H678" t="s">
        <v>25</v>
      </c>
      <c r="I678" t="s">
        <v>28</v>
      </c>
      <c r="J678">
        <v>4</v>
      </c>
      <c r="K678" s="1">
        <v>2000</v>
      </c>
      <c r="L678" s="1">
        <f>Table1[[#This Row],[Unit Price]]*Table1[[#This Row],[Units]]</f>
        <v>8000</v>
      </c>
      <c r="M678" s="1">
        <v>2276</v>
      </c>
      <c r="N678" t="s">
        <v>14</v>
      </c>
    </row>
    <row r="679" spans="4:14" x14ac:dyDescent="0.25">
      <c r="D679">
        <v>1678</v>
      </c>
      <c r="E679" s="4">
        <v>45723</v>
      </c>
      <c r="F679" t="s">
        <v>23</v>
      </c>
      <c r="G679" t="s">
        <v>11</v>
      </c>
      <c r="H679" t="s">
        <v>30</v>
      </c>
      <c r="I679" t="s">
        <v>18</v>
      </c>
      <c r="J679">
        <v>4</v>
      </c>
      <c r="K679" s="1">
        <v>60000</v>
      </c>
      <c r="L679" s="1">
        <f>Table1[[#This Row],[Unit Price]]*Table1[[#This Row],[Units]]</f>
        <v>240000</v>
      </c>
      <c r="M679" s="1">
        <v>64361</v>
      </c>
      <c r="N679" t="s">
        <v>19</v>
      </c>
    </row>
    <row r="680" spans="4:14" x14ac:dyDescent="0.25">
      <c r="D680">
        <v>1679</v>
      </c>
      <c r="E680" s="4">
        <v>45669</v>
      </c>
      <c r="F680" t="s">
        <v>10</v>
      </c>
      <c r="G680" t="s">
        <v>29</v>
      </c>
      <c r="H680" t="s">
        <v>17</v>
      </c>
      <c r="I680" t="s">
        <v>22</v>
      </c>
      <c r="J680">
        <v>10</v>
      </c>
      <c r="K680" s="1">
        <v>15000</v>
      </c>
      <c r="L680" s="1">
        <f>Table1[[#This Row],[Unit Price]]*Table1[[#This Row],[Units]]</f>
        <v>150000</v>
      </c>
      <c r="M680" s="1">
        <v>39961</v>
      </c>
      <c r="N680" t="s">
        <v>26</v>
      </c>
    </row>
    <row r="681" spans="4:14" x14ac:dyDescent="0.25">
      <c r="D681">
        <v>1680</v>
      </c>
      <c r="E681" s="4">
        <v>45759</v>
      </c>
      <c r="F681" t="s">
        <v>20</v>
      </c>
      <c r="G681" t="s">
        <v>24</v>
      </c>
      <c r="H681" t="s">
        <v>12</v>
      </c>
      <c r="I681" t="s">
        <v>22</v>
      </c>
      <c r="J681">
        <v>1</v>
      </c>
      <c r="K681" s="1">
        <v>15000</v>
      </c>
      <c r="L681" s="1">
        <f>Table1[[#This Row],[Unit Price]]*Table1[[#This Row],[Units]]</f>
        <v>15000</v>
      </c>
      <c r="M681" s="1">
        <v>2770</v>
      </c>
      <c r="N681" t="s">
        <v>14</v>
      </c>
    </row>
    <row r="682" spans="4:14" x14ac:dyDescent="0.25">
      <c r="D682">
        <v>1681</v>
      </c>
      <c r="E682" s="4">
        <v>45721</v>
      </c>
      <c r="F682" t="s">
        <v>23</v>
      </c>
      <c r="G682" t="s">
        <v>29</v>
      </c>
      <c r="H682" t="s">
        <v>21</v>
      </c>
      <c r="I682" t="s">
        <v>22</v>
      </c>
      <c r="J682">
        <v>2</v>
      </c>
      <c r="K682" s="1">
        <v>15000</v>
      </c>
      <c r="L682" s="1">
        <f>Table1[[#This Row],[Unit Price]]*Table1[[#This Row],[Units]]</f>
        <v>30000</v>
      </c>
      <c r="M682" s="1">
        <v>4874</v>
      </c>
      <c r="N682" t="s">
        <v>14</v>
      </c>
    </row>
    <row r="683" spans="4:14" x14ac:dyDescent="0.25">
      <c r="D683">
        <v>1682</v>
      </c>
      <c r="E683" s="4">
        <v>45756</v>
      </c>
      <c r="F683" t="s">
        <v>20</v>
      </c>
      <c r="G683" t="s">
        <v>29</v>
      </c>
      <c r="H683" t="s">
        <v>21</v>
      </c>
      <c r="I683" t="s">
        <v>22</v>
      </c>
      <c r="J683">
        <v>6</v>
      </c>
      <c r="K683" s="1">
        <v>15000</v>
      </c>
      <c r="L683" s="1">
        <f>Table1[[#This Row],[Unit Price]]*Table1[[#This Row],[Units]]</f>
        <v>90000</v>
      </c>
      <c r="M683" s="1">
        <v>26793</v>
      </c>
      <c r="N683" t="s">
        <v>26</v>
      </c>
    </row>
    <row r="684" spans="4:14" x14ac:dyDescent="0.25">
      <c r="D684">
        <v>1683</v>
      </c>
      <c r="E684" s="4">
        <v>45731</v>
      </c>
      <c r="F684" t="s">
        <v>23</v>
      </c>
      <c r="G684" t="s">
        <v>11</v>
      </c>
      <c r="H684" t="s">
        <v>17</v>
      </c>
      <c r="I684" t="s">
        <v>18</v>
      </c>
      <c r="J684">
        <v>6</v>
      </c>
      <c r="K684" s="1">
        <v>60000</v>
      </c>
      <c r="L684" s="1">
        <f>Table1[[#This Row],[Unit Price]]*Table1[[#This Row],[Units]]</f>
        <v>360000</v>
      </c>
      <c r="M684" s="1">
        <v>124480</v>
      </c>
      <c r="N684" t="s">
        <v>19</v>
      </c>
    </row>
    <row r="685" spans="4:14" x14ac:dyDescent="0.25">
      <c r="D685">
        <v>1684</v>
      </c>
      <c r="E685" s="4">
        <v>45806</v>
      </c>
      <c r="F685" t="s">
        <v>15</v>
      </c>
      <c r="G685" t="s">
        <v>11</v>
      </c>
      <c r="H685" t="s">
        <v>33</v>
      </c>
      <c r="I685" t="s">
        <v>13</v>
      </c>
      <c r="J685">
        <v>9</v>
      </c>
      <c r="K685" s="1">
        <v>800</v>
      </c>
      <c r="L685" s="1">
        <f>Table1[[#This Row],[Unit Price]]*Table1[[#This Row],[Units]]</f>
        <v>7200</v>
      </c>
      <c r="M685" s="1">
        <v>1352</v>
      </c>
      <c r="N685" t="s">
        <v>14</v>
      </c>
    </row>
    <row r="686" spans="4:14" x14ac:dyDescent="0.25">
      <c r="D686">
        <v>1685</v>
      </c>
      <c r="E686" s="4">
        <v>45714</v>
      </c>
      <c r="F686" t="s">
        <v>32</v>
      </c>
      <c r="G686" t="s">
        <v>29</v>
      </c>
      <c r="H686" t="s">
        <v>25</v>
      </c>
      <c r="I686" t="s">
        <v>28</v>
      </c>
      <c r="J686">
        <v>4</v>
      </c>
      <c r="K686" s="1">
        <v>2000</v>
      </c>
      <c r="L686" s="1">
        <f>Table1[[#This Row],[Unit Price]]*Table1[[#This Row],[Units]]</f>
        <v>8000</v>
      </c>
      <c r="M686" s="1">
        <v>1228</v>
      </c>
      <c r="N686" t="s">
        <v>14</v>
      </c>
    </row>
    <row r="687" spans="4:14" x14ac:dyDescent="0.25">
      <c r="D687">
        <v>1686</v>
      </c>
      <c r="E687" s="4">
        <v>45787</v>
      </c>
      <c r="F687" t="s">
        <v>15</v>
      </c>
      <c r="G687" t="s">
        <v>11</v>
      </c>
      <c r="H687" t="s">
        <v>25</v>
      </c>
      <c r="I687" t="s">
        <v>13</v>
      </c>
      <c r="J687">
        <v>3</v>
      </c>
      <c r="K687" s="1">
        <v>800</v>
      </c>
      <c r="L687" s="1">
        <f>Table1[[#This Row],[Unit Price]]*Table1[[#This Row],[Units]]</f>
        <v>2400</v>
      </c>
      <c r="M687" s="1">
        <v>810</v>
      </c>
      <c r="N687" t="s">
        <v>14</v>
      </c>
    </row>
    <row r="688" spans="4:14" x14ac:dyDescent="0.25">
      <c r="D688">
        <v>1687</v>
      </c>
      <c r="E688" s="4">
        <v>45713</v>
      </c>
      <c r="F688" t="s">
        <v>32</v>
      </c>
      <c r="G688" t="s">
        <v>29</v>
      </c>
      <c r="H688" t="s">
        <v>33</v>
      </c>
      <c r="I688" t="s">
        <v>18</v>
      </c>
      <c r="J688">
        <v>6</v>
      </c>
      <c r="K688" s="1">
        <v>60000</v>
      </c>
      <c r="L688" s="1">
        <f>Table1[[#This Row],[Unit Price]]*Table1[[#This Row],[Units]]</f>
        <v>360000</v>
      </c>
      <c r="M688" s="1">
        <v>82333</v>
      </c>
      <c r="N688" t="s">
        <v>19</v>
      </c>
    </row>
    <row r="689" spans="4:14" x14ac:dyDescent="0.25">
      <c r="D689">
        <v>1688</v>
      </c>
      <c r="E689" s="4">
        <v>45735</v>
      </c>
      <c r="F689" t="s">
        <v>23</v>
      </c>
      <c r="G689" t="s">
        <v>29</v>
      </c>
      <c r="H689" t="s">
        <v>33</v>
      </c>
      <c r="I689" t="s">
        <v>13</v>
      </c>
      <c r="J689">
        <v>1</v>
      </c>
      <c r="K689" s="1">
        <v>800</v>
      </c>
      <c r="L689" s="1">
        <f>Table1[[#This Row],[Unit Price]]*Table1[[#This Row],[Units]]</f>
        <v>800</v>
      </c>
      <c r="M689" s="1">
        <v>131</v>
      </c>
      <c r="N689" t="s">
        <v>14</v>
      </c>
    </row>
    <row r="690" spans="4:14" x14ac:dyDescent="0.25">
      <c r="D690">
        <v>1689</v>
      </c>
      <c r="E690" s="4">
        <v>45719</v>
      </c>
      <c r="F690" t="s">
        <v>23</v>
      </c>
      <c r="G690" t="s">
        <v>11</v>
      </c>
      <c r="H690" t="s">
        <v>25</v>
      </c>
      <c r="I690" t="s">
        <v>22</v>
      </c>
      <c r="J690">
        <v>9</v>
      </c>
      <c r="K690" s="1">
        <v>15000</v>
      </c>
      <c r="L690" s="1">
        <f>Table1[[#This Row],[Unit Price]]*Table1[[#This Row],[Units]]</f>
        <v>135000</v>
      </c>
      <c r="M690" s="1">
        <v>36457</v>
      </c>
      <c r="N690" t="s">
        <v>26</v>
      </c>
    </row>
    <row r="691" spans="4:14" x14ac:dyDescent="0.25">
      <c r="D691">
        <v>1690</v>
      </c>
      <c r="E691" s="4">
        <v>45837</v>
      </c>
      <c r="F691" t="s">
        <v>27</v>
      </c>
      <c r="G691" t="s">
        <v>24</v>
      </c>
      <c r="H691" t="s">
        <v>25</v>
      </c>
      <c r="I691" t="s">
        <v>22</v>
      </c>
      <c r="J691">
        <v>2</v>
      </c>
      <c r="K691" s="1">
        <v>15000</v>
      </c>
      <c r="L691" s="1">
        <f>Table1[[#This Row],[Unit Price]]*Table1[[#This Row],[Units]]</f>
        <v>30000</v>
      </c>
      <c r="M691" s="1">
        <v>9479</v>
      </c>
      <c r="N691" t="s">
        <v>14</v>
      </c>
    </row>
    <row r="692" spans="4:14" x14ac:dyDescent="0.25">
      <c r="D692">
        <v>1691</v>
      </c>
      <c r="E692" s="4">
        <v>45772</v>
      </c>
      <c r="F692" t="s">
        <v>20</v>
      </c>
      <c r="G692" t="s">
        <v>24</v>
      </c>
      <c r="H692" t="s">
        <v>30</v>
      </c>
      <c r="I692" t="s">
        <v>34</v>
      </c>
      <c r="J692">
        <v>8</v>
      </c>
      <c r="K692" s="1">
        <v>30000</v>
      </c>
      <c r="L692" s="1">
        <f>Table1[[#This Row],[Unit Price]]*Table1[[#This Row],[Units]]</f>
        <v>240000</v>
      </c>
      <c r="M692" s="1">
        <v>79764</v>
      </c>
      <c r="N692" t="s">
        <v>19</v>
      </c>
    </row>
    <row r="693" spans="4:14" x14ac:dyDescent="0.25">
      <c r="D693">
        <v>1692</v>
      </c>
      <c r="E693" s="4">
        <v>45799</v>
      </c>
      <c r="F693" t="s">
        <v>15</v>
      </c>
      <c r="G693" t="s">
        <v>16</v>
      </c>
      <c r="H693" t="s">
        <v>12</v>
      </c>
      <c r="I693" t="s">
        <v>22</v>
      </c>
      <c r="J693">
        <v>8</v>
      </c>
      <c r="K693" s="1">
        <v>15000</v>
      </c>
      <c r="L693" s="1">
        <f>Table1[[#This Row],[Unit Price]]*Table1[[#This Row],[Units]]</f>
        <v>120000</v>
      </c>
      <c r="M693" s="1">
        <v>32845</v>
      </c>
      <c r="N693" t="s">
        <v>26</v>
      </c>
    </row>
    <row r="694" spans="4:14" x14ac:dyDescent="0.25">
      <c r="D694">
        <v>1693</v>
      </c>
      <c r="E694" s="4">
        <v>45742</v>
      </c>
      <c r="F694" t="s">
        <v>23</v>
      </c>
      <c r="G694" t="s">
        <v>16</v>
      </c>
      <c r="H694" t="s">
        <v>12</v>
      </c>
      <c r="I694" t="s">
        <v>22</v>
      </c>
      <c r="J694">
        <v>9</v>
      </c>
      <c r="K694" s="1">
        <v>15000</v>
      </c>
      <c r="L694" s="1">
        <f>Table1[[#This Row],[Unit Price]]*Table1[[#This Row],[Units]]</f>
        <v>135000</v>
      </c>
      <c r="M694" s="1">
        <v>33156</v>
      </c>
      <c r="N694" t="s">
        <v>26</v>
      </c>
    </row>
    <row r="695" spans="4:14" x14ac:dyDescent="0.25">
      <c r="D695">
        <v>1694</v>
      </c>
      <c r="E695" s="4">
        <v>45676</v>
      </c>
      <c r="F695" t="s">
        <v>10</v>
      </c>
      <c r="G695" t="s">
        <v>29</v>
      </c>
      <c r="H695" t="s">
        <v>30</v>
      </c>
      <c r="I695" t="s">
        <v>28</v>
      </c>
      <c r="J695">
        <v>5</v>
      </c>
      <c r="K695" s="1">
        <v>2000</v>
      </c>
      <c r="L695" s="1">
        <f>Table1[[#This Row],[Unit Price]]*Table1[[#This Row],[Units]]</f>
        <v>10000</v>
      </c>
      <c r="M695" s="1">
        <v>1916</v>
      </c>
      <c r="N695" t="s">
        <v>14</v>
      </c>
    </row>
    <row r="696" spans="4:14" x14ac:dyDescent="0.25">
      <c r="D696">
        <v>1695</v>
      </c>
      <c r="E696" s="4">
        <v>45684</v>
      </c>
      <c r="F696" t="s">
        <v>10</v>
      </c>
      <c r="G696" t="s">
        <v>11</v>
      </c>
      <c r="H696" t="s">
        <v>21</v>
      </c>
      <c r="I696" t="s">
        <v>13</v>
      </c>
      <c r="J696">
        <v>2</v>
      </c>
      <c r="K696" s="1">
        <v>800</v>
      </c>
      <c r="L696" s="1">
        <f>Table1[[#This Row],[Unit Price]]*Table1[[#This Row],[Units]]</f>
        <v>1600</v>
      </c>
      <c r="M696" s="1">
        <v>433</v>
      </c>
      <c r="N696" t="s">
        <v>14</v>
      </c>
    </row>
    <row r="697" spans="4:14" x14ac:dyDescent="0.25">
      <c r="D697">
        <v>1696</v>
      </c>
      <c r="E697" s="4">
        <v>45668</v>
      </c>
      <c r="F697" t="s">
        <v>10</v>
      </c>
      <c r="G697" t="s">
        <v>16</v>
      </c>
      <c r="H697" t="s">
        <v>31</v>
      </c>
      <c r="I697" t="s">
        <v>22</v>
      </c>
      <c r="J697">
        <v>8</v>
      </c>
      <c r="K697" s="1">
        <v>15000</v>
      </c>
      <c r="L697" s="1">
        <f>Table1[[#This Row],[Unit Price]]*Table1[[#This Row],[Units]]</f>
        <v>120000</v>
      </c>
      <c r="M697" s="1">
        <v>23159</v>
      </c>
      <c r="N697" t="s">
        <v>26</v>
      </c>
    </row>
    <row r="698" spans="4:14" x14ac:dyDescent="0.25">
      <c r="D698">
        <v>1697</v>
      </c>
      <c r="E698" s="4">
        <v>45795</v>
      </c>
      <c r="F698" t="s">
        <v>15</v>
      </c>
      <c r="G698" t="s">
        <v>16</v>
      </c>
      <c r="H698" t="s">
        <v>31</v>
      </c>
      <c r="I698" t="s">
        <v>18</v>
      </c>
      <c r="J698">
        <v>10</v>
      </c>
      <c r="K698" s="1">
        <v>60000</v>
      </c>
      <c r="L698" s="1">
        <f>Table1[[#This Row],[Unit Price]]*Table1[[#This Row],[Units]]</f>
        <v>600000</v>
      </c>
      <c r="M698" s="1">
        <v>100616</v>
      </c>
      <c r="N698" t="s">
        <v>19</v>
      </c>
    </row>
    <row r="699" spans="4:14" x14ac:dyDescent="0.25">
      <c r="D699">
        <v>1698</v>
      </c>
      <c r="E699" s="4">
        <v>45813</v>
      </c>
      <c r="F699" t="s">
        <v>27</v>
      </c>
      <c r="G699" t="s">
        <v>29</v>
      </c>
      <c r="H699" t="s">
        <v>35</v>
      </c>
      <c r="I699" t="s">
        <v>34</v>
      </c>
      <c r="J699">
        <v>2</v>
      </c>
      <c r="K699" s="1">
        <v>30000</v>
      </c>
      <c r="L699" s="1">
        <f>Table1[[#This Row],[Unit Price]]*Table1[[#This Row],[Units]]</f>
        <v>60000</v>
      </c>
      <c r="M699" s="1">
        <v>11276</v>
      </c>
      <c r="N699" t="s">
        <v>26</v>
      </c>
    </row>
    <row r="700" spans="4:14" x14ac:dyDescent="0.25">
      <c r="D700">
        <v>1699</v>
      </c>
      <c r="E700" s="4">
        <v>45688</v>
      </c>
      <c r="F700" t="s">
        <v>10</v>
      </c>
      <c r="G700" t="s">
        <v>24</v>
      </c>
      <c r="H700" t="s">
        <v>31</v>
      </c>
      <c r="I700" t="s">
        <v>18</v>
      </c>
      <c r="J700">
        <v>5</v>
      </c>
      <c r="K700" s="1">
        <v>60000</v>
      </c>
      <c r="L700" s="1">
        <f>Table1[[#This Row],[Unit Price]]*Table1[[#This Row],[Units]]</f>
        <v>300000</v>
      </c>
      <c r="M700" s="1">
        <v>99434</v>
      </c>
      <c r="N700" t="s">
        <v>19</v>
      </c>
    </row>
    <row r="701" spans="4:14" x14ac:dyDescent="0.25">
      <c r="D701">
        <v>1700</v>
      </c>
      <c r="E701" s="4">
        <v>45717</v>
      </c>
      <c r="F701" t="s">
        <v>23</v>
      </c>
      <c r="G701" t="s">
        <v>16</v>
      </c>
      <c r="H701" t="s">
        <v>17</v>
      </c>
      <c r="I701" t="s">
        <v>13</v>
      </c>
      <c r="J701">
        <v>9</v>
      </c>
      <c r="K701" s="1">
        <v>800</v>
      </c>
      <c r="L701" s="1">
        <f>Table1[[#This Row],[Unit Price]]*Table1[[#This Row],[Units]]</f>
        <v>7200</v>
      </c>
      <c r="M701" s="1">
        <v>2431</v>
      </c>
      <c r="N701" t="s">
        <v>14</v>
      </c>
    </row>
    <row r="702" spans="4:14" x14ac:dyDescent="0.25">
      <c r="D702">
        <v>1701</v>
      </c>
      <c r="E702" s="4">
        <v>45660</v>
      </c>
      <c r="F702" t="s">
        <v>10</v>
      </c>
      <c r="G702" t="s">
        <v>24</v>
      </c>
      <c r="H702" t="s">
        <v>33</v>
      </c>
      <c r="I702" t="s">
        <v>18</v>
      </c>
      <c r="J702">
        <v>1</v>
      </c>
      <c r="K702" s="1">
        <v>60000</v>
      </c>
      <c r="L702" s="1">
        <f>Table1[[#This Row],[Unit Price]]*Table1[[#This Row],[Units]]</f>
        <v>60000</v>
      </c>
      <c r="M702" s="1">
        <v>11892</v>
      </c>
      <c r="N702" t="s">
        <v>26</v>
      </c>
    </row>
    <row r="703" spans="4:14" x14ac:dyDescent="0.25">
      <c r="D703">
        <v>1702</v>
      </c>
      <c r="E703" s="4">
        <v>45780</v>
      </c>
      <c r="F703" t="s">
        <v>15</v>
      </c>
      <c r="G703" t="s">
        <v>29</v>
      </c>
      <c r="H703" t="s">
        <v>21</v>
      </c>
      <c r="I703" t="s">
        <v>34</v>
      </c>
      <c r="J703">
        <v>5</v>
      </c>
      <c r="K703" s="1">
        <v>30000</v>
      </c>
      <c r="L703" s="1">
        <f>Table1[[#This Row],[Unit Price]]*Table1[[#This Row],[Units]]</f>
        <v>150000</v>
      </c>
      <c r="M703" s="1">
        <v>27695</v>
      </c>
      <c r="N703" t="s">
        <v>26</v>
      </c>
    </row>
    <row r="704" spans="4:14" x14ac:dyDescent="0.25">
      <c r="D704">
        <v>1703</v>
      </c>
      <c r="E704" s="4">
        <v>45737</v>
      </c>
      <c r="F704" t="s">
        <v>23</v>
      </c>
      <c r="G704" t="s">
        <v>16</v>
      </c>
      <c r="H704" t="s">
        <v>30</v>
      </c>
      <c r="I704" t="s">
        <v>28</v>
      </c>
      <c r="J704">
        <v>6</v>
      </c>
      <c r="K704" s="1">
        <v>2000</v>
      </c>
      <c r="L704" s="1">
        <f>Table1[[#This Row],[Unit Price]]*Table1[[#This Row],[Units]]</f>
        <v>12000</v>
      </c>
      <c r="M704" s="1">
        <v>2077</v>
      </c>
      <c r="N704" t="s">
        <v>14</v>
      </c>
    </row>
    <row r="705" spans="4:14" x14ac:dyDescent="0.25">
      <c r="D705">
        <v>1704</v>
      </c>
      <c r="E705" s="4">
        <v>45735</v>
      </c>
      <c r="F705" t="s">
        <v>23</v>
      </c>
      <c r="G705" t="s">
        <v>11</v>
      </c>
      <c r="H705" t="s">
        <v>12</v>
      </c>
      <c r="I705" t="s">
        <v>28</v>
      </c>
      <c r="J705">
        <v>5</v>
      </c>
      <c r="K705" s="1">
        <v>2000</v>
      </c>
      <c r="L705" s="1">
        <f>Table1[[#This Row],[Unit Price]]*Table1[[#This Row],[Units]]</f>
        <v>10000</v>
      </c>
      <c r="M705" s="1">
        <v>3278</v>
      </c>
      <c r="N705" t="s">
        <v>14</v>
      </c>
    </row>
    <row r="706" spans="4:14" x14ac:dyDescent="0.25">
      <c r="D706">
        <v>1705</v>
      </c>
      <c r="E706" s="4">
        <v>45813</v>
      </c>
      <c r="F706" t="s">
        <v>27</v>
      </c>
      <c r="G706" t="s">
        <v>16</v>
      </c>
      <c r="H706" t="s">
        <v>12</v>
      </c>
      <c r="I706" t="s">
        <v>22</v>
      </c>
      <c r="J706">
        <v>3</v>
      </c>
      <c r="K706" s="1">
        <v>15000</v>
      </c>
      <c r="L706" s="1">
        <f>Table1[[#This Row],[Unit Price]]*Table1[[#This Row],[Units]]</f>
        <v>45000</v>
      </c>
      <c r="M706" s="1">
        <v>15464</v>
      </c>
      <c r="N706" t="s">
        <v>14</v>
      </c>
    </row>
    <row r="707" spans="4:14" x14ac:dyDescent="0.25">
      <c r="D707">
        <v>1706</v>
      </c>
      <c r="E707" s="4">
        <v>45706</v>
      </c>
      <c r="F707" t="s">
        <v>32</v>
      </c>
      <c r="G707" t="s">
        <v>16</v>
      </c>
      <c r="H707" t="s">
        <v>35</v>
      </c>
      <c r="I707" t="s">
        <v>28</v>
      </c>
      <c r="J707">
        <v>10</v>
      </c>
      <c r="K707" s="1">
        <v>2000</v>
      </c>
      <c r="L707" s="1">
        <f>Table1[[#This Row],[Unit Price]]*Table1[[#This Row],[Units]]</f>
        <v>20000</v>
      </c>
      <c r="M707" s="1">
        <v>6590</v>
      </c>
      <c r="N707" t="s">
        <v>14</v>
      </c>
    </row>
    <row r="708" spans="4:14" x14ac:dyDescent="0.25">
      <c r="D708">
        <v>1707</v>
      </c>
      <c r="E708" s="4">
        <v>45789</v>
      </c>
      <c r="F708" t="s">
        <v>15</v>
      </c>
      <c r="G708" t="s">
        <v>11</v>
      </c>
      <c r="H708" t="s">
        <v>30</v>
      </c>
      <c r="I708" t="s">
        <v>22</v>
      </c>
      <c r="J708">
        <v>8</v>
      </c>
      <c r="K708" s="1">
        <v>15000</v>
      </c>
      <c r="L708" s="1">
        <f>Table1[[#This Row],[Unit Price]]*Table1[[#This Row],[Units]]</f>
        <v>120000</v>
      </c>
      <c r="M708" s="1">
        <v>38048</v>
      </c>
      <c r="N708" t="s">
        <v>26</v>
      </c>
    </row>
    <row r="709" spans="4:14" x14ac:dyDescent="0.25">
      <c r="D709">
        <v>1708</v>
      </c>
      <c r="E709" s="4">
        <v>45695</v>
      </c>
      <c r="F709" t="s">
        <v>32</v>
      </c>
      <c r="G709" t="s">
        <v>16</v>
      </c>
      <c r="H709" t="s">
        <v>17</v>
      </c>
      <c r="I709" t="s">
        <v>28</v>
      </c>
      <c r="J709">
        <v>4</v>
      </c>
      <c r="K709" s="1">
        <v>2000</v>
      </c>
      <c r="L709" s="1">
        <f>Table1[[#This Row],[Unit Price]]*Table1[[#This Row],[Units]]</f>
        <v>8000</v>
      </c>
      <c r="M709" s="1">
        <v>2566</v>
      </c>
      <c r="N709" t="s">
        <v>14</v>
      </c>
    </row>
    <row r="710" spans="4:14" x14ac:dyDescent="0.25">
      <c r="D710">
        <v>1709</v>
      </c>
      <c r="E710" s="4">
        <v>45684</v>
      </c>
      <c r="F710" t="s">
        <v>10</v>
      </c>
      <c r="G710" t="s">
        <v>24</v>
      </c>
      <c r="H710" t="s">
        <v>30</v>
      </c>
      <c r="I710" t="s">
        <v>28</v>
      </c>
      <c r="J710">
        <v>6</v>
      </c>
      <c r="K710" s="1">
        <v>2000</v>
      </c>
      <c r="L710" s="1">
        <f>Table1[[#This Row],[Unit Price]]*Table1[[#This Row],[Units]]</f>
        <v>12000</v>
      </c>
      <c r="M710" s="1">
        <v>4143</v>
      </c>
      <c r="N710" t="s">
        <v>14</v>
      </c>
    </row>
    <row r="711" spans="4:14" x14ac:dyDescent="0.25">
      <c r="D711">
        <v>1710</v>
      </c>
      <c r="E711" s="4">
        <v>45743</v>
      </c>
      <c r="F711" t="s">
        <v>23</v>
      </c>
      <c r="G711" t="s">
        <v>11</v>
      </c>
      <c r="H711" t="s">
        <v>30</v>
      </c>
      <c r="I711" t="s">
        <v>34</v>
      </c>
      <c r="J711">
        <v>7</v>
      </c>
      <c r="K711" s="1">
        <v>30000</v>
      </c>
      <c r="L711" s="1">
        <f>Table1[[#This Row],[Unit Price]]*Table1[[#This Row],[Units]]</f>
        <v>210000</v>
      </c>
      <c r="M711" s="1">
        <v>41527</v>
      </c>
      <c r="N711" t="s">
        <v>19</v>
      </c>
    </row>
    <row r="712" spans="4:14" x14ac:dyDescent="0.25">
      <c r="D712">
        <v>1711</v>
      </c>
      <c r="E712" s="4">
        <v>45808</v>
      </c>
      <c r="F712" t="s">
        <v>15</v>
      </c>
      <c r="G712" t="s">
        <v>11</v>
      </c>
      <c r="H712" t="s">
        <v>33</v>
      </c>
      <c r="I712" t="s">
        <v>28</v>
      </c>
      <c r="J712">
        <v>1</v>
      </c>
      <c r="K712" s="1">
        <v>2000</v>
      </c>
      <c r="L712" s="1">
        <f>Table1[[#This Row],[Unit Price]]*Table1[[#This Row],[Units]]</f>
        <v>2000</v>
      </c>
      <c r="M712" s="1">
        <v>503</v>
      </c>
      <c r="N712" t="s">
        <v>14</v>
      </c>
    </row>
    <row r="713" spans="4:14" x14ac:dyDescent="0.25">
      <c r="D713">
        <v>1712</v>
      </c>
      <c r="E713" s="4">
        <v>45796</v>
      </c>
      <c r="F713" t="s">
        <v>15</v>
      </c>
      <c r="G713" t="s">
        <v>29</v>
      </c>
      <c r="H713" t="s">
        <v>12</v>
      </c>
      <c r="I713" t="s">
        <v>18</v>
      </c>
      <c r="J713">
        <v>1</v>
      </c>
      <c r="K713" s="1">
        <v>60000</v>
      </c>
      <c r="L713" s="1">
        <f>Table1[[#This Row],[Unit Price]]*Table1[[#This Row],[Units]]</f>
        <v>60000</v>
      </c>
      <c r="M713" s="1">
        <v>11006</v>
      </c>
      <c r="N713" t="s">
        <v>26</v>
      </c>
    </row>
    <row r="714" spans="4:14" x14ac:dyDescent="0.25">
      <c r="D714">
        <v>1713</v>
      </c>
      <c r="E714" s="4">
        <v>45802</v>
      </c>
      <c r="F714" t="s">
        <v>15</v>
      </c>
      <c r="G714" t="s">
        <v>29</v>
      </c>
      <c r="H714" t="s">
        <v>33</v>
      </c>
      <c r="I714" t="s">
        <v>22</v>
      </c>
      <c r="J714">
        <v>2</v>
      </c>
      <c r="K714" s="1">
        <v>15000</v>
      </c>
      <c r="L714" s="1">
        <f>Table1[[#This Row],[Unit Price]]*Table1[[#This Row],[Units]]</f>
        <v>30000</v>
      </c>
      <c r="M714" s="1">
        <v>4677</v>
      </c>
      <c r="N714" t="s">
        <v>14</v>
      </c>
    </row>
    <row r="715" spans="4:14" x14ac:dyDescent="0.25">
      <c r="D715">
        <v>1714</v>
      </c>
      <c r="E715" s="4">
        <v>45782</v>
      </c>
      <c r="F715" t="s">
        <v>15</v>
      </c>
      <c r="G715" t="s">
        <v>24</v>
      </c>
      <c r="H715" t="s">
        <v>31</v>
      </c>
      <c r="I715" t="s">
        <v>22</v>
      </c>
      <c r="J715">
        <v>4</v>
      </c>
      <c r="K715" s="1">
        <v>15000</v>
      </c>
      <c r="L715" s="1">
        <f>Table1[[#This Row],[Unit Price]]*Table1[[#This Row],[Units]]</f>
        <v>60000</v>
      </c>
      <c r="M715" s="1">
        <v>15737</v>
      </c>
      <c r="N715" t="s">
        <v>26</v>
      </c>
    </row>
    <row r="716" spans="4:14" x14ac:dyDescent="0.25">
      <c r="D716">
        <v>1715</v>
      </c>
      <c r="E716" s="4">
        <v>45792</v>
      </c>
      <c r="F716" t="s">
        <v>15</v>
      </c>
      <c r="G716" t="s">
        <v>29</v>
      </c>
      <c r="H716" t="s">
        <v>17</v>
      </c>
      <c r="I716" t="s">
        <v>22</v>
      </c>
      <c r="J716">
        <v>9</v>
      </c>
      <c r="K716" s="1">
        <v>15000</v>
      </c>
      <c r="L716" s="1">
        <f>Table1[[#This Row],[Unit Price]]*Table1[[#This Row],[Units]]</f>
        <v>135000</v>
      </c>
      <c r="M716" s="1">
        <v>22169</v>
      </c>
      <c r="N716" t="s">
        <v>26</v>
      </c>
    </row>
    <row r="717" spans="4:14" x14ac:dyDescent="0.25">
      <c r="D717">
        <v>1716</v>
      </c>
      <c r="E717" s="4">
        <v>45788</v>
      </c>
      <c r="F717" t="s">
        <v>15</v>
      </c>
      <c r="G717" t="s">
        <v>29</v>
      </c>
      <c r="H717" t="s">
        <v>35</v>
      </c>
      <c r="I717" t="s">
        <v>18</v>
      </c>
      <c r="J717">
        <v>4</v>
      </c>
      <c r="K717" s="1">
        <v>60000</v>
      </c>
      <c r="L717" s="1">
        <f>Table1[[#This Row],[Unit Price]]*Table1[[#This Row],[Units]]</f>
        <v>240000</v>
      </c>
      <c r="M717" s="1">
        <v>63236</v>
      </c>
      <c r="N717" t="s">
        <v>19</v>
      </c>
    </row>
    <row r="718" spans="4:14" x14ac:dyDescent="0.25">
      <c r="D718">
        <v>1717</v>
      </c>
      <c r="E718" s="4">
        <v>45833</v>
      </c>
      <c r="F718" t="s">
        <v>27</v>
      </c>
      <c r="G718" t="s">
        <v>24</v>
      </c>
      <c r="H718" t="s">
        <v>35</v>
      </c>
      <c r="I718" t="s">
        <v>18</v>
      </c>
      <c r="J718">
        <v>8</v>
      </c>
      <c r="K718" s="1">
        <v>60000</v>
      </c>
      <c r="L718" s="1">
        <f>Table1[[#This Row],[Unit Price]]*Table1[[#This Row],[Units]]</f>
        <v>480000</v>
      </c>
      <c r="M718" s="1">
        <v>86053</v>
      </c>
      <c r="N718" t="s">
        <v>19</v>
      </c>
    </row>
    <row r="719" spans="4:14" x14ac:dyDescent="0.25">
      <c r="D719">
        <v>1718</v>
      </c>
      <c r="E719" s="4">
        <v>45701</v>
      </c>
      <c r="F719" t="s">
        <v>32</v>
      </c>
      <c r="G719" t="s">
        <v>24</v>
      </c>
      <c r="H719" t="s">
        <v>17</v>
      </c>
      <c r="I719" t="s">
        <v>34</v>
      </c>
      <c r="J719">
        <v>8</v>
      </c>
      <c r="K719" s="1">
        <v>30000</v>
      </c>
      <c r="L719" s="1">
        <f>Table1[[#This Row],[Unit Price]]*Table1[[#This Row],[Units]]</f>
        <v>240000</v>
      </c>
      <c r="M719" s="1">
        <v>81184</v>
      </c>
      <c r="N719" t="s">
        <v>19</v>
      </c>
    </row>
    <row r="720" spans="4:14" x14ac:dyDescent="0.25">
      <c r="D720">
        <v>1719</v>
      </c>
      <c r="E720" s="4">
        <v>45681</v>
      </c>
      <c r="F720" t="s">
        <v>10</v>
      </c>
      <c r="G720" t="s">
        <v>29</v>
      </c>
      <c r="H720" t="s">
        <v>12</v>
      </c>
      <c r="I720" t="s">
        <v>34</v>
      </c>
      <c r="J720">
        <v>7</v>
      </c>
      <c r="K720" s="1">
        <v>30000</v>
      </c>
      <c r="L720" s="1">
        <f>Table1[[#This Row],[Unit Price]]*Table1[[#This Row],[Units]]</f>
        <v>210000</v>
      </c>
      <c r="M720" s="1">
        <v>40185</v>
      </c>
      <c r="N720" t="s">
        <v>19</v>
      </c>
    </row>
    <row r="721" spans="4:14" x14ac:dyDescent="0.25">
      <c r="D721">
        <v>1720</v>
      </c>
      <c r="E721" s="4">
        <v>45766</v>
      </c>
      <c r="F721" t="s">
        <v>20</v>
      </c>
      <c r="G721" t="s">
        <v>16</v>
      </c>
      <c r="H721" t="s">
        <v>35</v>
      </c>
      <c r="I721" t="s">
        <v>22</v>
      </c>
      <c r="J721">
        <v>5</v>
      </c>
      <c r="K721" s="1">
        <v>15000</v>
      </c>
      <c r="L721" s="1">
        <f>Table1[[#This Row],[Unit Price]]*Table1[[#This Row],[Units]]</f>
        <v>75000</v>
      </c>
      <c r="M721" s="1">
        <v>24032</v>
      </c>
      <c r="N721" t="s">
        <v>26</v>
      </c>
    </row>
    <row r="722" spans="4:14" x14ac:dyDescent="0.25">
      <c r="D722">
        <v>1721</v>
      </c>
      <c r="E722" s="4">
        <v>45807</v>
      </c>
      <c r="F722" t="s">
        <v>15</v>
      </c>
      <c r="G722" t="s">
        <v>11</v>
      </c>
      <c r="H722" t="s">
        <v>21</v>
      </c>
      <c r="I722" t="s">
        <v>18</v>
      </c>
      <c r="J722">
        <v>4</v>
      </c>
      <c r="K722" s="1">
        <v>60000</v>
      </c>
      <c r="L722" s="1">
        <f>Table1[[#This Row],[Unit Price]]*Table1[[#This Row],[Units]]</f>
        <v>240000</v>
      </c>
      <c r="M722" s="1">
        <v>53018</v>
      </c>
      <c r="N722" t="s">
        <v>19</v>
      </c>
    </row>
    <row r="723" spans="4:14" x14ac:dyDescent="0.25">
      <c r="D723">
        <v>1722</v>
      </c>
      <c r="E723" s="4">
        <v>45693</v>
      </c>
      <c r="F723" t="s">
        <v>32</v>
      </c>
      <c r="G723" t="s">
        <v>11</v>
      </c>
      <c r="H723" t="s">
        <v>25</v>
      </c>
      <c r="I723" t="s">
        <v>18</v>
      </c>
      <c r="J723">
        <v>7</v>
      </c>
      <c r="K723" s="1">
        <v>60000</v>
      </c>
      <c r="L723" s="1">
        <f>Table1[[#This Row],[Unit Price]]*Table1[[#This Row],[Units]]</f>
        <v>420000</v>
      </c>
      <c r="M723" s="1">
        <v>136611</v>
      </c>
      <c r="N723" t="s">
        <v>19</v>
      </c>
    </row>
    <row r="724" spans="4:14" x14ac:dyDescent="0.25">
      <c r="D724">
        <v>1723</v>
      </c>
      <c r="E724" s="4">
        <v>45685</v>
      </c>
      <c r="F724" t="s">
        <v>10</v>
      </c>
      <c r="G724" t="s">
        <v>16</v>
      </c>
      <c r="H724" t="s">
        <v>12</v>
      </c>
      <c r="I724" t="s">
        <v>18</v>
      </c>
      <c r="J724">
        <v>9</v>
      </c>
      <c r="K724" s="1">
        <v>60000</v>
      </c>
      <c r="L724" s="1">
        <f>Table1[[#This Row],[Unit Price]]*Table1[[#This Row],[Units]]</f>
        <v>540000</v>
      </c>
      <c r="M724" s="1">
        <v>160996</v>
      </c>
      <c r="N724" t="s">
        <v>19</v>
      </c>
    </row>
    <row r="725" spans="4:14" x14ac:dyDescent="0.25">
      <c r="D725">
        <v>1724</v>
      </c>
      <c r="E725" s="4">
        <v>45816</v>
      </c>
      <c r="F725" t="s">
        <v>27</v>
      </c>
      <c r="G725" t="s">
        <v>11</v>
      </c>
      <c r="H725" t="s">
        <v>30</v>
      </c>
      <c r="I725" t="s">
        <v>28</v>
      </c>
      <c r="J725">
        <v>10</v>
      </c>
      <c r="K725" s="1">
        <v>2000</v>
      </c>
      <c r="L725" s="1">
        <f>Table1[[#This Row],[Unit Price]]*Table1[[#This Row],[Units]]</f>
        <v>20000</v>
      </c>
      <c r="M725" s="1">
        <v>4926</v>
      </c>
      <c r="N725" t="s">
        <v>14</v>
      </c>
    </row>
    <row r="726" spans="4:14" x14ac:dyDescent="0.25">
      <c r="D726">
        <v>1725</v>
      </c>
      <c r="E726" s="4">
        <v>45729</v>
      </c>
      <c r="F726" t="s">
        <v>23</v>
      </c>
      <c r="G726" t="s">
        <v>29</v>
      </c>
      <c r="H726" t="s">
        <v>33</v>
      </c>
      <c r="I726" t="s">
        <v>13</v>
      </c>
      <c r="J726">
        <v>9</v>
      </c>
      <c r="K726" s="1">
        <v>800</v>
      </c>
      <c r="L726" s="1">
        <f>Table1[[#This Row],[Unit Price]]*Table1[[#This Row],[Units]]</f>
        <v>7200</v>
      </c>
      <c r="M726" s="1">
        <v>2485</v>
      </c>
      <c r="N726" t="s">
        <v>14</v>
      </c>
    </row>
    <row r="727" spans="4:14" x14ac:dyDescent="0.25">
      <c r="D727">
        <v>1726</v>
      </c>
      <c r="E727" s="4">
        <v>45757</v>
      </c>
      <c r="F727" t="s">
        <v>20</v>
      </c>
      <c r="G727" t="s">
        <v>24</v>
      </c>
      <c r="H727" t="s">
        <v>17</v>
      </c>
      <c r="I727" t="s">
        <v>22</v>
      </c>
      <c r="J727">
        <v>9</v>
      </c>
      <c r="K727" s="1">
        <v>15000</v>
      </c>
      <c r="L727" s="1">
        <f>Table1[[#This Row],[Unit Price]]*Table1[[#This Row],[Units]]</f>
        <v>135000</v>
      </c>
      <c r="M727" s="1">
        <v>41577</v>
      </c>
      <c r="N727" t="s">
        <v>26</v>
      </c>
    </row>
    <row r="728" spans="4:14" x14ac:dyDescent="0.25">
      <c r="D728">
        <v>1727</v>
      </c>
      <c r="E728" s="4">
        <v>45681</v>
      </c>
      <c r="F728" t="s">
        <v>10</v>
      </c>
      <c r="G728" t="s">
        <v>24</v>
      </c>
      <c r="H728" t="s">
        <v>33</v>
      </c>
      <c r="I728" t="s">
        <v>34</v>
      </c>
      <c r="J728">
        <v>7</v>
      </c>
      <c r="K728" s="1">
        <v>30000</v>
      </c>
      <c r="L728" s="1">
        <f>Table1[[#This Row],[Unit Price]]*Table1[[#This Row],[Units]]</f>
        <v>210000</v>
      </c>
      <c r="M728" s="1">
        <v>41778</v>
      </c>
      <c r="N728" t="s">
        <v>19</v>
      </c>
    </row>
    <row r="729" spans="4:14" x14ac:dyDescent="0.25">
      <c r="D729">
        <v>1728</v>
      </c>
      <c r="E729" s="4">
        <v>45698</v>
      </c>
      <c r="F729" t="s">
        <v>32</v>
      </c>
      <c r="G729" t="s">
        <v>11</v>
      </c>
      <c r="H729" t="s">
        <v>21</v>
      </c>
      <c r="I729" t="s">
        <v>13</v>
      </c>
      <c r="J729">
        <v>9</v>
      </c>
      <c r="K729" s="1">
        <v>800</v>
      </c>
      <c r="L729" s="1">
        <f>Table1[[#This Row],[Unit Price]]*Table1[[#This Row],[Units]]</f>
        <v>7200</v>
      </c>
      <c r="M729" s="1">
        <v>1123</v>
      </c>
      <c r="N729" t="s">
        <v>14</v>
      </c>
    </row>
    <row r="730" spans="4:14" x14ac:dyDescent="0.25">
      <c r="D730">
        <v>1729</v>
      </c>
      <c r="E730" s="4">
        <v>45721</v>
      </c>
      <c r="F730" t="s">
        <v>23</v>
      </c>
      <c r="G730" t="s">
        <v>24</v>
      </c>
      <c r="H730" t="s">
        <v>30</v>
      </c>
      <c r="I730" t="s">
        <v>28</v>
      </c>
      <c r="J730">
        <v>10</v>
      </c>
      <c r="K730" s="1">
        <v>2000</v>
      </c>
      <c r="L730" s="1">
        <f>Table1[[#This Row],[Unit Price]]*Table1[[#This Row],[Units]]</f>
        <v>20000</v>
      </c>
      <c r="M730" s="1">
        <v>5613</v>
      </c>
      <c r="N730" t="s">
        <v>14</v>
      </c>
    </row>
    <row r="731" spans="4:14" x14ac:dyDescent="0.25">
      <c r="D731">
        <v>1730</v>
      </c>
      <c r="E731" s="4">
        <v>45764</v>
      </c>
      <c r="F731" t="s">
        <v>20</v>
      </c>
      <c r="G731" t="s">
        <v>16</v>
      </c>
      <c r="H731" t="s">
        <v>25</v>
      </c>
      <c r="I731" t="s">
        <v>22</v>
      </c>
      <c r="J731">
        <v>8</v>
      </c>
      <c r="K731" s="1">
        <v>15000</v>
      </c>
      <c r="L731" s="1">
        <f>Table1[[#This Row],[Unit Price]]*Table1[[#This Row],[Units]]</f>
        <v>120000</v>
      </c>
      <c r="M731" s="1">
        <v>31063</v>
      </c>
      <c r="N731" t="s">
        <v>26</v>
      </c>
    </row>
    <row r="732" spans="4:14" x14ac:dyDescent="0.25">
      <c r="D732">
        <v>1731</v>
      </c>
      <c r="E732" s="4">
        <v>45704</v>
      </c>
      <c r="F732" t="s">
        <v>32</v>
      </c>
      <c r="G732" t="s">
        <v>24</v>
      </c>
      <c r="H732" t="s">
        <v>33</v>
      </c>
      <c r="I732" t="s">
        <v>34</v>
      </c>
      <c r="J732">
        <v>2</v>
      </c>
      <c r="K732" s="1">
        <v>30000</v>
      </c>
      <c r="L732" s="1">
        <f>Table1[[#This Row],[Unit Price]]*Table1[[#This Row],[Units]]</f>
        <v>60000</v>
      </c>
      <c r="M732" s="1">
        <v>13056</v>
      </c>
      <c r="N732" t="s">
        <v>26</v>
      </c>
    </row>
    <row r="733" spans="4:14" x14ac:dyDescent="0.25">
      <c r="D733">
        <v>1732</v>
      </c>
      <c r="E733" s="4">
        <v>45805</v>
      </c>
      <c r="F733" t="s">
        <v>15</v>
      </c>
      <c r="G733" t="s">
        <v>16</v>
      </c>
      <c r="H733" t="s">
        <v>25</v>
      </c>
      <c r="I733" t="s">
        <v>34</v>
      </c>
      <c r="J733">
        <v>8</v>
      </c>
      <c r="K733" s="1">
        <v>30000</v>
      </c>
      <c r="L733" s="1">
        <f>Table1[[#This Row],[Unit Price]]*Table1[[#This Row],[Units]]</f>
        <v>240000</v>
      </c>
      <c r="M733" s="1">
        <v>38448</v>
      </c>
      <c r="N733" t="s">
        <v>19</v>
      </c>
    </row>
    <row r="734" spans="4:14" x14ac:dyDescent="0.25">
      <c r="D734">
        <v>1733</v>
      </c>
      <c r="E734" s="4">
        <v>45706</v>
      </c>
      <c r="F734" t="s">
        <v>32</v>
      </c>
      <c r="G734" t="s">
        <v>16</v>
      </c>
      <c r="H734" t="s">
        <v>21</v>
      </c>
      <c r="I734" t="s">
        <v>34</v>
      </c>
      <c r="J734">
        <v>2</v>
      </c>
      <c r="K734" s="1">
        <v>30000</v>
      </c>
      <c r="L734" s="1">
        <f>Table1[[#This Row],[Unit Price]]*Table1[[#This Row],[Units]]</f>
        <v>60000</v>
      </c>
      <c r="M734" s="1">
        <v>9170</v>
      </c>
      <c r="N734" t="s">
        <v>26</v>
      </c>
    </row>
    <row r="735" spans="4:14" x14ac:dyDescent="0.25">
      <c r="D735">
        <v>1734</v>
      </c>
      <c r="E735" s="4">
        <v>45670</v>
      </c>
      <c r="F735" t="s">
        <v>10</v>
      </c>
      <c r="G735" t="s">
        <v>29</v>
      </c>
      <c r="H735" t="s">
        <v>12</v>
      </c>
      <c r="I735" t="s">
        <v>22</v>
      </c>
      <c r="J735">
        <v>10</v>
      </c>
      <c r="K735" s="1">
        <v>15000</v>
      </c>
      <c r="L735" s="1">
        <f>Table1[[#This Row],[Unit Price]]*Table1[[#This Row],[Units]]</f>
        <v>150000</v>
      </c>
      <c r="M735" s="1">
        <v>35495</v>
      </c>
      <c r="N735" t="s">
        <v>26</v>
      </c>
    </row>
    <row r="736" spans="4:14" x14ac:dyDescent="0.25">
      <c r="D736">
        <v>1735</v>
      </c>
      <c r="E736" s="4">
        <v>45732</v>
      </c>
      <c r="F736" t="s">
        <v>23</v>
      </c>
      <c r="G736" t="s">
        <v>29</v>
      </c>
      <c r="H736" t="s">
        <v>17</v>
      </c>
      <c r="I736" t="s">
        <v>28</v>
      </c>
      <c r="J736">
        <v>6</v>
      </c>
      <c r="K736" s="1">
        <v>2000</v>
      </c>
      <c r="L736" s="1">
        <f>Table1[[#This Row],[Unit Price]]*Table1[[#This Row],[Units]]</f>
        <v>12000</v>
      </c>
      <c r="M736" s="1">
        <v>3519</v>
      </c>
      <c r="N736" t="s">
        <v>14</v>
      </c>
    </row>
    <row r="737" spans="4:14" x14ac:dyDescent="0.25">
      <c r="D737">
        <v>1736</v>
      </c>
      <c r="E737" s="4">
        <v>45676</v>
      </c>
      <c r="F737" t="s">
        <v>10</v>
      </c>
      <c r="G737" t="s">
        <v>24</v>
      </c>
      <c r="H737" t="s">
        <v>33</v>
      </c>
      <c r="I737" t="s">
        <v>28</v>
      </c>
      <c r="J737">
        <v>7</v>
      </c>
      <c r="K737" s="1">
        <v>2000</v>
      </c>
      <c r="L737" s="1">
        <f>Table1[[#This Row],[Unit Price]]*Table1[[#This Row],[Units]]</f>
        <v>14000</v>
      </c>
      <c r="M737" s="1">
        <v>3785</v>
      </c>
      <c r="N737" t="s">
        <v>14</v>
      </c>
    </row>
    <row r="738" spans="4:14" x14ac:dyDescent="0.25">
      <c r="D738">
        <v>1737</v>
      </c>
      <c r="E738" s="4">
        <v>45736</v>
      </c>
      <c r="F738" t="s">
        <v>23</v>
      </c>
      <c r="G738" t="s">
        <v>29</v>
      </c>
      <c r="H738" t="s">
        <v>21</v>
      </c>
      <c r="I738" t="s">
        <v>13</v>
      </c>
      <c r="J738">
        <v>2</v>
      </c>
      <c r="K738" s="1">
        <v>800</v>
      </c>
      <c r="L738" s="1">
        <f>Table1[[#This Row],[Unit Price]]*Table1[[#This Row],[Units]]</f>
        <v>1600</v>
      </c>
      <c r="M738" s="1">
        <v>359</v>
      </c>
      <c r="N738" t="s">
        <v>14</v>
      </c>
    </row>
    <row r="739" spans="4:14" x14ac:dyDescent="0.25">
      <c r="D739">
        <v>1738</v>
      </c>
      <c r="E739" s="4">
        <v>45806</v>
      </c>
      <c r="F739" t="s">
        <v>15</v>
      </c>
      <c r="G739" t="s">
        <v>29</v>
      </c>
      <c r="H739" t="s">
        <v>30</v>
      </c>
      <c r="I739" t="s">
        <v>18</v>
      </c>
      <c r="J739">
        <v>3</v>
      </c>
      <c r="K739" s="1">
        <v>60000</v>
      </c>
      <c r="L739" s="1">
        <f>Table1[[#This Row],[Unit Price]]*Table1[[#This Row],[Units]]</f>
        <v>180000</v>
      </c>
      <c r="M739" s="1">
        <v>61270</v>
      </c>
      <c r="N739" t="s">
        <v>26</v>
      </c>
    </row>
    <row r="740" spans="4:14" x14ac:dyDescent="0.25">
      <c r="D740">
        <v>1739</v>
      </c>
      <c r="E740" s="4">
        <v>45772</v>
      </c>
      <c r="F740" t="s">
        <v>20</v>
      </c>
      <c r="G740" t="s">
        <v>16</v>
      </c>
      <c r="H740" t="s">
        <v>12</v>
      </c>
      <c r="I740" t="s">
        <v>18</v>
      </c>
      <c r="J740">
        <v>10</v>
      </c>
      <c r="K740" s="1">
        <v>60000</v>
      </c>
      <c r="L740" s="1">
        <f>Table1[[#This Row],[Unit Price]]*Table1[[#This Row],[Units]]</f>
        <v>600000</v>
      </c>
      <c r="M740" s="1">
        <v>167622</v>
      </c>
      <c r="N740" t="s">
        <v>19</v>
      </c>
    </row>
    <row r="741" spans="4:14" x14ac:dyDescent="0.25">
      <c r="D741">
        <v>1740</v>
      </c>
      <c r="E741" s="4">
        <v>45697</v>
      </c>
      <c r="F741" t="s">
        <v>32</v>
      </c>
      <c r="G741" t="s">
        <v>16</v>
      </c>
      <c r="H741" t="s">
        <v>30</v>
      </c>
      <c r="I741" t="s">
        <v>13</v>
      </c>
      <c r="J741">
        <v>1</v>
      </c>
      <c r="K741" s="1">
        <v>800</v>
      </c>
      <c r="L741" s="1">
        <f>Table1[[#This Row],[Unit Price]]*Table1[[#This Row],[Units]]</f>
        <v>800</v>
      </c>
      <c r="M741" s="1">
        <v>126</v>
      </c>
      <c r="N741" t="s">
        <v>14</v>
      </c>
    </row>
    <row r="742" spans="4:14" x14ac:dyDescent="0.25">
      <c r="D742">
        <v>1741</v>
      </c>
      <c r="E742" s="4">
        <v>45663</v>
      </c>
      <c r="F742" t="s">
        <v>10</v>
      </c>
      <c r="G742" t="s">
        <v>29</v>
      </c>
      <c r="H742" t="s">
        <v>33</v>
      </c>
      <c r="I742" t="s">
        <v>34</v>
      </c>
      <c r="J742">
        <v>8</v>
      </c>
      <c r="K742" s="1">
        <v>30000</v>
      </c>
      <c r="L742" s="1">
        <f>Table1[[#This Row],[Unit Price]]*Table1[[#This Row],[Units]]</f>
        <v>240000</v>
      </c>
      <c r="M742" s="1">
        <v>47995</v>
      </c>
      <c r="N742" t="s">
        <v>19</v>
      </c>
    </row>
    <row r="743" spans="4:14" x14ac:dyDescent="0.25">
      <c r="D743">
        <v>1742</v>
      </c>
      <c r="E743" s="4">
        <v>45760</v>
      </c>
      <c r="F743" t="s">
        <v>20</v>
      </c>
      <c r="G743" t="s">
        <v>11</v>
      </c>
      <c r="H743" t="s">
        <v>31</v>
      </c>
      <c r="I743" t="s">
        <v>13</v>
      </c>
      <c r="J743">
        <v>7</v>
      </c>
      <c r="K743" s="1">
        <v>800</v>
      </c>
      <c r="L743" s="1">
        <f>Table1[[#This Row],[Unit Price]]*Table1[[#This Row],[Units]]</f>
        <v>5600</v>
      </c>
      <c r="M743" s="1">
        <v>1539</v>
      </c>
      <c r="N743" t="s">
        <v>14</v>
      </c>
    </row>
    <row r="744" spans="4:14" x14ac:dyDescent="0.25">
      <c r="D744">
        <v>1743</v>
      </c>
      <c r="E744" s="4">
        <v>45658</v>
      </c>
      <c r="F744" t="s">
        <v>10</v>
      </c>
      <c r="G744" t="s">
        <v>16</v>
      </c>
      <c r="H744" t="s">
        <v>33</v>
      </c>
      <c r="I744" t="s">
        <v>22</v>
      </c>
      <c r="J744">
        <v>10</v>
      </c>
      <c r="K744" s="1">
        <v>15000</v>
      </c>
      <c r="L744" s="1">
        <f>Table1[[#This Row],[Unit Price]]*Table1[[#This Row],[Units]]</f>
        <v>150000</v>
      </c>
      <c r="M744" s="1">
        <v>32245</v>
      </c>
      <c r="N744" t="s">
        <v>26</v>
      </c>
    </row>
    <row r="745" spans="4:14" x14ac:dyDescent="0.25">
      <c r="D745">
        <v>1744</v>
      </c>
      <c r="E745" s="4">
        <v>45798</v>
      </c>
      <c r="F745" t="s">
        <v>15</v>
      </c>
      <c r="G745" t="s">
        <v>29</v>
      </c>
      <c r="H745" t="s">
        <v>17</v>
      </c>
      <c r="I745" t="s">
        <v>13</v>
      </c>
      <c r="J745">
        <v>3</v>
      </c>
      <c r="K745" s="1">
        <v>800</v>
      </c>
      <c r="L745" s="1">
        <f>Table1[[#This Row],[Unit Price]]*Table1[[#This Row],[Units]]</f>
        <v>2400</v>
      </c>
      <c r="M745" s="1">
        <v>582</v>
      </c>
      <c r="N745" t="s">
        <v>14</v>
      </c>
    </row>
    <row r="746" spans="4:14" x14ac:dyDescent="0.25">
      <c r="D746">
        <v>1745</v>
      </c>
      <c r="E746" s="4">
        <v>45823</v>
      </c>
      <c r="F746" t="s">
        <v>27</v>
      </c>
      <c r="G746" t="s">
        <v>16</v>
      </c>
      <c r="H746" t="s">
        <v>33</v>
      </c>
      <c r="I746" t="s">
        <v>22</v>
      </c>
      <c r="J746">
        <v>3</v>
      </c>
      <c r="K746" s="1">
        <v>15000</v>
      </c>
      <c r="L746" s="1">
        <f>Table1[[#This Row],[Unit Price]]*Table1[[#This Row],[Units]]</f>
        <v>45000</v>
      </c>
      <c r="M746" s="1">
        <v>10824</v>
      </c>
      <c r="N746" t="s">
        <v>14</v>
      </c>
    </row>
    <row r="747" spans="4:14" x14ac:dyDescent="0.25">
      <c r="D747">
        <v>1746</v>
      </c>
      <c r="E747" s="4">
        <v>45792</v>
      </c>
      <c r="F747" t="s">
        <v>15</v>
      </c>
      <c r="G747" t="s">
        <v>29</v>
      </c>
      <c r="H747" t="s">
        <v>33</v>
      </c>
      <c r="I747" t="s">
        <v>28</v>
      </c>
      <c r="J747">
        <v>9</v>
      </c>
      <c r="K747" s="1">
        <v>2000</v>
      </c>
      <c r="L747" s="1">
        <f>Table1[[#This Row],[Unit Price]]*Table1[[#This Row],[Units]]</f>
        <v>18000</v>
      </c>
      <c r="M747" s="1">
        <v>3937</v>
      </c>
      <c r="N747" t="s">
        <v>14</v>
      </c>
    </row>
    <row r="748" spans="4:14" x14ac:dyDescent="0.25">
      <c r="D748">
        <v>1747</v>
      </c>
      <c r="E748" s="4">
        <v>45722</v>
      </c>
      <c r="F748" t="s">
        <v>23</v>
      </c>
      <c r="G748" t="s">
        <v>24</v>
      </c>
      <c r="H748" t="s">
        <v>17</v>
      </c>
      <c r="I748" t="s">
        <v>13</v>
      </c>
      <c r="J748">
        <v>7</v>
      </c>
      <c r="K748" s="1">
        <v>800</v>
      </c>
      <c r="L748" s="1">
        <f>Table1[[#This Row],[Unit Price]]*Table1[[#This Row],[Units]]</f>
        <v>5600</v>
      </c>
      <c r="M748" s="1">
        <v>1936</v>
      </c>
      <c r="N748" t="s">
        <v>14</v>
      </c>
    </row>
    <row r="749" spans="4:14" x14ac:dyDescent="0.25">
      <c r="D749">
        <v>1748</v>
      </c>
      <c r="E749" s="4">
        <v>45773</v>
      </c>
      <c r="F749" t="s">
        <v>20</v>
      </c>
      <c r="G749" t="s">
        <v>11</v>
      </c>
      <c r="H749" t="s">
        <v>31</v>
      </c>
      <c r="I749" t="s">
        <v>28</v>
      </c>
      <c r="J749">
        <v>10</v>
      </c>
      <c r="K749" s="1">
        <v>2000</v>
      </c>
      <c r="L749" s="1">
        <f>Table1[[#This Row],[Unit Price]]*Table1[[#This Row],[Units]]</f>
        <v>20000</v>
      </c>
      <c r="M749" s="1">
        <v>4798</v>
      </c>
      <c r="N749" t="s">
        <v>14</v>
      </c>
    </row>
    <row r="750" spans="4:14" x14ac:dyDescent="0.25">
      <c r="D750">
        <v>1749</v>
      </c>
      <c r="E750" s="4">
        <v>45752</v>
      </c>
      <c r="F750" t="s">
        <v>20</v>
      </c>
      <c r="G750" t="s">
        <v>29</v>
      </c>
      <c r="H750" t="s">
        <v>30</v>
      </c>
      <c r="I750" t="s">
        <v>34</v>
      </c>
      <c r="J750">
        <v>7</v>
      </c>
      <c r="K750" s="1">
        <v>30000</v>
      </c>
      <c r="L750" s="1">
        <f>Table1[[#This Row],[Unit Price]]*Table1[[#This Row],[Units]]</f>
        <v>210000</v>
      </c>
      <c r="M750" s="1">
        <v>68125</v>
      </c>
      <c r="N750" t="s">
        <v>19</v>
      </c>
    </row>
    <row r="751" spans="4:14" x14ac:dyDescent="0.25">
      <c r="D751">
        <v>1750</v>
      </c>
      <c r="E751" s="4">
        <v>45763</v>
      </c>
      <c r="F751" t="s">
        <v>20</v>
      </c>
      <c r="G751" t="s">
        <v>29</v>
      </c>
      <c r="H751" t="s">
        <v>21</v>
      </c>
      <c r="I751" t="s">
        <v>28</v>
      </c>
      <c r="J751">
        <v>6</v>
      </c>
      <c r="K751" s="1">
        <v>2000</v>
      </c>
      <c r="L751" s="1">
        <f>Table1[[#This Row],[Unit Price]]*Table1[[#This Row],[Units]]</f>
        <v>12000</v>
      </c>
      <c r="M751" s="1">
        <v>3963</v>
      </c>
      <c r="N751" t="s">
        <v>14</v>
      </c>
    </row>
    <row r="752" spans="4:14" x14ac:dyDescent="0.25">
      <c r="D752">
        <v>1751</v>
      </c>
      <c r="E752" s="4">
        <v>45727</v>
      </c>
      <c r="F752" t="s">
        <v>23</v>
      </c>
      <c r="G752" t="s">
        <v>29</v>
      </c>
      <c r="H752" t="s">
        <v>31</v>
      </c>
      <c r="I752" t="s">
        <v>13</v>
      </c>
      <c r="J752">
        <v>3</v>
      </c>
      <c r="K752" s="1">
        <v>800</v>
      </c>
      <c r="L752" s="1">
        <f>Table1[[#This Row],[Unit Price]]*Table1[[#This Row],[Units]]</f>
        <v>2400</v>
      </c>
      <c r="M752" s="1">
        <v>682</v>
      </c>
      <c r="N752" t="s">
        <v>14</v>
      </c>
    </row>
    <row r="753" spans="4:14" x14ac:dyDescent="0.25">
      <c r="D753">
        <v>1752</v>
      </c>
      <c r="E753" s="4">
        <v>45674</v>
      </c>
      <c r="F753" t="s">
        <v>10</v>
      </c>
      <c r="G753" t="s">
        <v>11</v>
      </c>
      <c r="H753" t="s">
        <v>21</v>
      </c>
      <c r="I753" t="s">
        <v>22</v>
      </c>
      <c r="J753">
        <v>8</v>
      </c>
      <c r="K753" s="1">
        <v>15000</v>
      </c>
      <c r="L753" s="1">
        <f>Table1[[#This Row],[Unit Price]]*Table1[[#This Row],[Units]]</f>
        <v>120000</v>
      </c>
      <c r="M753" s="1">
        <v>25325</v>
      </c>
      <c r="N753" t="s">
        <v>26</v>
      </c>
    </row>
    <row r="754" spans="4:14" x14ac:dyDescent="0.25">
      <c r="D754">
        <v>1753</v>
      </c>
      <c r="E754" s="4">
        <v>45777</v>
      </c>
      <c r="F754" t="s">
        <v>20</v>
      </c>
      <c r="G754" t="s">
        <v>11</v>
      </c>
      <c r="H754" t="s">
        <v>12</v>
      </c>
      <c r="I754" t="s">
        <v>13</v>
      </c>
      <c r="J754">
        <v>7</v>
      </c>
      <c r="K754" s="1">
        <v>800</v>
      </c>
      <c r="L754" s="1">
        <f>Table1[[#This Row],[Unit Price]]*Table1[[#This Row],[Units]]</f>
        <v>5600</v>
      </c>
      <c r="M754" s="1">
        <v>1766</v>
      </c>
      <c r="N754" t="s">
        <v>14</v>
      </c>
    </row>
    <row r="755" spans="4:14" x14ac:dyDescent="0.25">
      <c r="D755">
        <v>1754</v>
      </c>
      <c r="E755" s="4">
        <v>45769</v>
      </c>
      <c r="F755" t="s">
        <v>20</v>
      </c>
      <c r="G755" t="s">
        <v>29</v>
      </c>
      <c r="H755" t="s">
        <v>30</v>
      </c>
      <c r="I755" t="s">
        <v>22</v>
      </c>
      <c r="J755">
        <v>3</v>
      </c>
      <c r="K755" s="1">
        <v>15000</v>
      </c>
      <c r="L755" s="1">
        <f>Table1[[#This Row],[Unit Price]]*Table1[[#This Row],[Units]]</f>
        <v>45000</v>
      </c>
      <c r="M755" s="1">
        <v>12610</v>
      </c>
      <c r="N755" t="s">
        <v>14</v>
      </c>
    </row>
    <row r="756" spans="4:14" x14ac:dyDescent="0.25">
      <c r="D756">
        <v>1755</v>
      </c>
      <c r="E756" s="4">
        <v>45661</v>
      </c>
      <c r="F756" t="s">
        <v>10</v>
      </c>
      <c r="G756" t="s">
        <v>11</v>
      </c>
      <c r="H756" t="s">
        <v>30</v>
      </c>
      <c r="I756" t="s">
        <v>22</v>
      </c>
      <c r="J756">
        <v>1</v>
      </c>
      <c r="K756" s="1">
        <v>15000</v>
      </c>
      <c r="L756" s="1">
        <f>Table1[[#This Row],[Unit Price]]*Table1[[#This Row],[Units]]</f>
        <v>15000</v>
      </c>
      <c r="M756" s="1">
        <v>4542</v>
      </c>
      <c r="N756" t="s">
        <v>14</v>
      </c>
    </row>
    <row r="757" spans="4:14" x14ac:dyDescent="0.25">
      <c r="D757">
        <v>1756</v>
      </c>
      <c r="E757" s="4">
        <v>45666</v>
      </c>
      <c r="F757" t="s">
        <v>10</v>
      </c>
      <c r="G757" t="s">
        <v>24</v>
      </c>
      <c r="H757" t="s">
        <v>17</v>
      </c>
      <c r="I757" t="s">
        <v>18</v>
      </c>
      <c r="J757">
        <v>8</v>
      </c>
      <c r="K757" s="1">
        <v>60000</v>
      </c>
      <c r="L757" s="1">
        <f>Table1[[#This Row],[Unit Price]]*Table1[[#This Row],[Units]]</f>
        <v>480000</v>
      </c>
      <c r="M757" s="1">
        <v>138280</v>
      </c>
      <c r="N757" t="s">
        <v>19</v>
      </c>
    </row>
    <row r="758" spans="4:14" x14ac:dyDescent="0.25">
      <c r="D758">
        <v>1757</v>
      </c>
      <c r="E758" s="4">
        <v>45798</v>
      </c>
      <c r="F758" t="s">
        <v>15</v>
      </c>
      <c r="G758" t="s">
        <v>24</v>
      </c>
      <c r="H758" t="s">
        <v>25</v>
      </c>
      <c r="I758" t="s">
        <v>22</v>
      </c>
      <c r="J758">
        <v>7</v>
      </c>
      <c r="K758" s="1">
        <v>15000</v>
      </c>
      <c r="L758" s="1">
        <f>Table1[[#This Row],[Unit Price]]*Table1[[#This Row],[Units]]</f>
        <v>105000</v>
      </c>
      <c r="M758" s="1">
        <v>35327</v>
      </c>
      <c r="N758" t="s">
        <v>26</v>
      </c>
    </row>
    <row r="759" spans="4:14" x14ac:dyDescent="0.25">
      <c r="D759">
        <v>1758</v>
      </c>
      <c r="E759" s="4">
        <v>45824</v>
      </c>
      <c r="F759" t="s">
        <v>27</v>
      </c>
      <c r="G759" t="s">
        <v>11</v>
      </c>
      <c r="H759" t="s">
        <v>35</v>
      </c>
      <c r="I759" t="s">
        <v>13</v>
      </c>
      <c r="J759">
        <v>9</v>
      </c>
      <c r="K759" s="1">
        <v>800</v>
      </c>
      <c r="L759" s="1">
        <f>Table1[[#This Row],[Unit Price]]*Table1[[#This Row],[Units]]</f>
        <v>7200</v>
      </c>
      <c r="M759" s="1">
        <v>1238</v>
      </c>
      <c r="N759" t="s">
        <v>14</v>
      </c>
    </row>
    <row r="760" spans="4:14" x14ac:dyDescent="0.25">
      <c r="D760">
        <v>1759</v>
      </c>
      <c r="E760" s="4">
        <v>45741</v>
      </c>
      <c r="F760" t="s">
        <v>23</v>
      </c>
      <c r="G760" t="s">
        <v>29</v>
      </c>
      <c r="H760" t="s">
        <v>25</v>
      </c>
      <c r="I760" t="s">
        <v>28</v>
      </c>
      <c r="J760">
        <v>8</v>
      </c>
      <c r="K760" s="1">
        <v>2000</v>
      </c>
      <c r="L760" s="1">
        <f>Table1[[#This Row],[Unit Price]]*Table1[[#This Row],[Units]]</f>
        <v>16000</v>
      </c>
      <c r="M760" s="1">
        <v>2810</v>
      </c>
      <c r="N760" t="s">
        <v>14</v>
      </c>
    </row>
    <row r="761" spans="4:14" x14ac:dyDescent="0.25">
      <c r="D761">
        <v>1760</v>
      </c>
      <c r="E761" s="4">
        <v>45746</v>
      </c>
      <c r="F761" t="s">
        <v>23</v>
      </c>
      <c r="G761" t="s">
        <v>16</v>
      </c>
      <c r="H761" t="s">
        <v>33</v>
      </c>
      <c r="I761" t="s">
        <v>28</v>
      </c>
      <c r="J761">
        <v>7</v>
      </c>
      <c r="K761" s="1">
        <v>2000</v>
      </c>
      <c r="L761" s="1">
        <f>Table1[[#This Row],[Unit Price]]*Table1[[#This Row],[Units]]</f>
        <v>14000</v>
      </c>
      <c r="M761" s="1">
        <v>3162</v>
      </c>
      <c r="N761" t="s">
        <v>14</v>
      </c>
    </row>
    <row r="762" spans="4:14" x14ac:dyDescent="0.25">
      <c r="D762">
        <v>1761</v>
      </c>
      <c r="E762" s="4">
        <v>45667</v>
      </c>
      <c r="F762" t="s">
        <v>10</v>
      </c>
      <c r="G762" t="s">
        <v>24</v>
      </c>
      <c r="H762" t="s">
        <v>35</v>
      </c>
      <c r="I762" t="s">
        <v>22</v>
      </c>
      <c r="J762">
        <v>8</v>
      </c>
      <c r="K762" s="1">
        <v>15000</v>
      </c>
      <c r="L762" s="1">
        <f>Table1[[#This Row],[Unit Price]]*Table1[[#This Row],[Units]]</f>
        <v>120000</v>
      </c>
      <c r="M762" s="1">
        <v>25267</v>
      </c>
      <c r="N762" t="s">
        <v>26</v>
      </c>
    </row>
    <row r="763" spans="4:14" x14ac:dyDescent="0.25">
      <c r="D763">
        <v>1762</v>
      </c>
      <c r="E763" s="4">
        <v>45756</v>
      </c>
      <c r="F763" t="s">
        <v>20</v>
      </c>
      <c r="G763" t="s">
        <v>11</v>
      </c>
      <c r="H763" t="s">
        <v>17</v>
      </c>
      <c r="I763" t="s">
        <v>18</v>
      </c>
      <c r="J763">
        <v>2</v>
      </c>
      <c r="K763" s="1">
        <v>60000</v>
      </c>
      <c r="L763" s="1">
        <f>Table1[[#This Row],[Unit Price]]*Table1[[#This Row],[Units]]</f>
        <v>120000</v>
      </c>
      <c r="M763" s="1">
        <v>27804</v>
      </c>
      <c r="N763" t="s">
        <v>26</v>
      </c>
    </row>
    <row r="764" spans="4:14" x14ac:dyDescent="0.25">
      <c r="D764">
        <v>1763</v>
      </c>
      <c r="E764" s="4">
        <v>45824</v>
      </c>
      <c r="F764" t="s">
        <v>27</v>
      </c>
      <c r="G764" t="s">
        <v>29</v>
      </c>
      <c r="H764" t="s">
        <v>25</v>
      </c>
      <c r="I764" t="s">
        <v>18</v>
      </c>
      <c r="J764">
        <v>8</v>
      </c>
      <c r="K764" s="1">
        <v>60000</v>
      </c>
      <c r="L764" s="1">
        <f>Table1[[#This Row],[Unit Price]]*Table1[[#This Row],[Units]]</f>
        <v>480000</v>
      </c>
      <c r="M764" s="1">
        <v>147453</v>
      </c>
      <c r="N764" t="s">
        <v>19</v>
      </c>
    </row>
    <row r="765" spans="4:14" x14ac:dyDescent="0.25">
      <c r="D765">
        <v>1764</v>
      </c>
      <c r="E765" s="4">
        <v>45768</v>
      </c>
      <c r="F765" t="s">
        <v>20</v>
      </c>
      <c r="G765" t="s">
        <v>24</v>
      </c>
      <c r="H765" t="s">
        <v>33</v>
      </c>
      <c r="I765" t="s">
        <v>34</v>
      </c>
      <c r="J765">
        <v>6</v>
      </c>
      <c r="K765" s="1">
        <v>30000</v>
      </c>
      <c r="L765" s="1">
        <f>Table1[[#This Row],[Unit Price]]*Table1[[#This Row],[Units]]</f>
        <v>180000</v>
      </c>
      <c r="M765" s="1">
        <v>51456</v>
      </c>
      <c r="N765" t="s">
        <v>26</v>
      </c>
    </row>
    <row r="766" spans="4:14" x14ac:dyDescent="0.25">
      <c r="D766">
        <v>1765</v>
      </c>
      <c r="E766" s="4">
        <v>45823</v>
      </c>
      <c r="F766" t="s">
        <v>27</v>
      </c>
      <c r="G766" t="s">
        <v>29</v>
      </c>
      <c r="H766" t="s">
        <v>30</v>
      </c>
      <c r="I766" t="s">
        <v>28</v>
      </c>
      <c r="J766">
        <v>2</v>
      </c>
      <c r="K766" s="1">
        <v>2000</v>
      </c>
      <c r="L766" s="1">
        <f>Table1[[#This Row],[Unit Price]]*Table1[[#This Row],[Units]]</f>
        <v>4000</v>
      </c>
      <c r="M766" s="1">
        <v>827</v>
      </c>
      <c r="N766" t="s">
        <v>14</v>
      </c>
    </row>
    <row r="767" spans="4:14" x14ac:dyDescent="0.25">
      <c r="D767">
        <v>1766</v>
      </c>
      <c r="E767" s="4">
        <v>45770</v>
      </c>
      <c r="F767" t="s">
        <v>20</v>
      </c>
      <c r="G767" t="s">
        <v>29</v>
      </c>
      <c r="H767" t="s">
        <v>35</v>
      </c>
      <c r="I767" t="s">
        <v>22</v>
      </c>
      <c r="J767">
        <v>10</v>
      </c>
      <c r="K767" s="1">
        <v>15000</v>
      </c>
      <c r="L767" s="1">
        <f>Table1[[#This Row],[Unit Price]]*Table1[[#This Row],[Units]]</f>
        <v>150000</v>
      </c>
      <c r="M767" s="1">
        <v>46415</v>
      </c>
      <c r="N767" t="s">
        <v>26</v>
      </c>
    </row>
    <row r="768" spans="4:14" x14ac:dyDescent="0.25">
      <c r="D768">
        <v>1767</v>
      </c>
      <c r="E768" s="4">
        <v>45819</v>
      </c>
      <c r="F768" t="s">
        <v>27</v>
      </c>
      <c r="G768" t="s">
        <v>24</v>
      </c>
      <c r="H768" t="s">
        <v>17</v>
      </c>
      <c r="I768" t="s">
        <v>13</v>
      </c>
      <c r="J768">
        <v>8</v>
      </c>
      <c r="K768" s="1">
        <v>800</v>
      </c>
      <c r="L768" s="1">
        <f>Table1[[#This Row],[Unit Price]]*Table1[[#This Row],[Units]]</f>
        <v>6400</v>
      </c>
      <c r="M768" s="1">
        <v>1457</v>
      </c>
      <c r="N768" t="s">
        <v>14</v>
      </c>
    </row>
    <row r="769" spans="4:14" x14ac:dyDescent="0.25">
      <c r="D769">
        <v>1768</v>
      </c>
      <c r="E769" s="4">
        <v>45779</v>
      </c>
      <c r="F769" t="s">
        <v>15</v>
      </c>
      <c r="G769" t="s">
        <v>24</v>
      </c>
      <c r="H769" t="s">
        <v>33</v>
      </c>
      <c r="I769" t="s">
        <v>13</v>
      </c>
      <c r="J769">
        <v>4</v>
      </c>
      <c r="K769" s="1">
        <v>800</v>
      </c>
      <c r="L769" s="1">
        <f>Table1[[#This Row],[Unit Price]]*Table1[[#This Row],[Units]]</f>
        <v>3200</v>
      </c>
      <c r="M769" s="1">
        <v>1093</v>
      </c>
      <c r="N769" t="s">
        <v>14</v>
      </c>
    </row>
    <row r="770" spans="4:14" x14ac:dyDescent="0.25">
      <c r="D770">
        <v>1769</v>
      </c>
      <c r="E770" s="4">
        <v>45761</v>
      </c>
      <c r="F770" t="s">
        <v>20</v>
      </c>
      <c r="G770" t="s">
        <v>24</v>
      </c>
      <c r="H770" t="s">
        <v>33</v>
      </c>
      <c r="I770" t="s">
        <v>22</v>
      </c>
      <c r="J770">
        <v>2</v>
      </c>
      <c r="K770" s="1">
        <v>15000</v>
      </c>
      <c r="L770" s="1">
        <f>Table1[[#This Row],[Unit Price]]*Table1[[#This Row],[Units]]</f>
        <v>30000</v>
      </c>
      <c r="M770" s="1">
        <v>6825</v>
      </c>
      <c r="N770" t="s">
        <v>14</v>
      </c>
    </row>
    <row r="771" spans="4:14" x14ac:dyDescent="0.25">
      <c r="D771">
        <v>1770</v>
      </c>
      <c r="E771" s="4">
        <v>45675</v>
      </c>
      <c r="F771" t="s">
        <v>10</v>
      </c>
      <c r="G771" t="s">
        <v>24</v>
      </c>
      <c r="H771" t="s">
        <v>21</v>
      </c>
      <c r="I771" t="s">
        <v>28</v>
      </c>
      <c r="J771">
        <v>7</v>
      </c>
      <c r="K771" s="1">
        <v>2000</v>
      </c>
      <c r="L771" s="1">
        <f>Table1[[#This Row],[Unit Price]]*Table1[[#This Row],[Units]]</f>
        <v>14000</v>
      </c>
      <c r="M771" s="1">
        <v>4672</v>
      </c>
      <c r="N771" t="s">
        <v>14</v>
      </c>
    </row>
    <row r="772" spans="4:14" x14ac:dyDescent="0.25">
      <c r="D772">
        <v>1771</v>
      </c>
      <c r="E772" s="4">
        <v>45787</v>
      </c>
      <c r="F772" t="s">
        <v>15</v>
      </c>
      <c r="G772" t="s">
        <v>24</v>
      </c>
      <c r="H772" t="s">
        <v>31</v>
      </c>
      <c r="I772" t="s">
        <v>22</v>
      </c>
      <c r="J772">
        <v>6</v>
      </c>
      <c r="K772" s="1">
        <v>15000</v>
      </c>
      <c r="L772" s="1">
        <f>Table1[[#This Row],[Unit Price]]*Table1[[#This Row],[Units]]</f>
        <v>90000</v>
      </c>
      <c r="M772" s="1">
        <v>15485</v>
      </c>
      <c r="N772" t="s">
        <v>26</v>
      </c>
    </row>
    <row r="773" spans="4:14" x14ac:dyDescent="0.25">
      <c r="D773">
        <v>1772</v>
      </c>
      <c r="E773" s="4">
        <v>45818</v>
      </c>
      <c r="F773" t="s">
        <v>27</v>
      </c>
      <c r="G773" t="s">
        <v>29</v>
      </c>
      <c r="H773" t="s">
        <v>31</v>
      </c>
      <c r="I773" t="s">
        <v>22</v>
      </c>
      <c r="J773">
        <v>3</v>
      </c>
      <c r="K773" s="1">
        <v>15000</v>
      </c>
      <c r="L773" s="1">
        <f>Table1[[#This Row],[Unit Price]]*Table1[[#This Row],[Units]]</f>
        <v>45000</v>
      </c>
      <c r="M773" s="1">
        <v>13874</v>
      </c>
      <c r="N773" t="s">
        <v>14</v>
      </c>
    </row>
    <row r="774" spans="4:14" x14ac:dyDescent="0.25">
      <c r="D774">
        <v>1773</v>
      </c>
      <c r="E774" s="4">
        <v>45738</v>
      </c>
      <c r="F774" t="s">
        <v>23</v>
      </c>
      <c r="G774" t="s">
        <v>11</v>
      </c>
      <c r="H774" t="s">
        <v>35</v>
      </c>
      <c r="I774" t="s">
        <v>28</v>
      </c>
      <c r="J774">
        <v>6</v>
      </c>
      <c r="K774" s="1">
        <v>2000</v>
      </c>
      <c r="L774" s="1">
        <f>Table1[[#This Row],[Unit Price]]*Table1[[#This Row],[Units]]</f>
        <v>12000</v>
      </c>
      <c r="M774" s="1">
        <v>3854</v>
      </c>
      <c r="N774" t="s">
        <v>14</v>
      </c>
    </row>
    <row r="775" spans="4:14" x14ac:dyDescent="0.25">
      <c r="D775">
        <v>1774</v>
      </c>
      <c r="E775" s="4">
        <v>45751</v>
      </c>
      <c r="F775" t="s">
        <v>20</v>
      </c>
      <c r="G775" t="s">
        <v>11</v>
      </c>
      <c r="H775" t="s">
        <v>12</v>
      </c>
      <c r="I775" t="s">
        <v>18</v>
      </c>
      <c r="J775">
        <v>4</v>
      </c>
      <c r="K775" s="1">
        <v>60000</v>
      </c>
      <c r="L775" s="1">
        <f>Table1[[#This Row],[Unit Price]]*Table1[[#This Row],[Units]]</f>
        <v>240000</v>
      </c>
      <c r="M775" s="1">
        <v>82158</v>
      </c>
      <c r="N775" t="s">
        <v>19</v>
      </c>
    </row>
    <row r="776" spans="4:14" x14ac:dyDescent="0.25">
      <c r="D776">
        <v>1775</v>
      </c>
      <c r="E776" s="4">
        <v>45719</v>
      </c>
      <c r="F776" t="s">
        <v>23</v>
      </c>
      <c r="G776" t="s">
        <v>24</v>
      </c>
      <c r="H776" t="s">
        <v>31</v>
      </c>
      <c r="I776" t="s">
        <v>34</v>
      </c>
      <c r="J776">
        <v>4</v>
      </c>
      <c r="K776" s="1">
        <v>30000</v>
      </c>
      <c r="L776" s="1">
        <f>Table1[[#This Row],[Unit Price]]*Table1[[#This Row],[Units]]</f>
        <v>120000</v>
      </c>
      <c r="M776" s="1">
        <v>36462</v>
      </c>
      <c r="N776" t="s">
        <v>26</v>
      </c>
    </row>
    <row r="777" spans="4:14" x14ac:dyDescent="0.25">
      <c r="D777">
        <v>1776</v>
      </c>
      <c r="E777" s="4">
        <v>45723</v>
      </c>
      <c r="F777" t="s">
        <v>23</v>
      </c>
      <c r="G777" t="s">
        <v>24</v>
      </c>
      <c r="H777" t="s">
        <v>30</v>
      </c>
      <c r="I777" t="s">
        <v>34</v>
      </c>
      <c r="J777">
        <v>9</v>
      </c>
      <c r="K777" s="1">
        <v>30000</v>
      </c>
      <c r="L777" s="1">
        <f>Table1[[#This Row],[Unit Price]]*Table1[[#This Row],[Units]]</f>
        <v>270000</v>
      </c>
      <c r="M777" s="1">
        <v>64223</v>
      </c>
      <c r="N777" t="s">
        <v>19</v>
      </c>
    </row>
    <row r="778" spans="4:14" x14ac:dyDescent="0.25">
      <c r="D778">
        <v>1777</v>
      </c>
      <c r="E778" s="4">
        <v>45758</v>
      </c>
      <c r="F778" t="s">
        <v>20</v>
      </c>
      <c r="G778" t="s">
        <v>29</v>
      </c>
      <c r="H778" t="s">
        <v>12</v>
      </c>
      <c r="I778" t="s">
        <v>22</v>
      </c>
      <c r="J778">
        <v>6</v>
      </c>
      <c r="K778" s="1">
        <v>15000</v>
      </c>
      <c r="L778" s="1">
        <f>Table1[[#This Row],[Unit Price]]*Table1[[#This Row],[Units]]</f>
        <v>90000</v>
      </c>
      <c r="M778" s="1">
        <v>21137</v>
      </c>
      <c r="N778" t="s">
        <v>26</v>
      </c>
    </row>
    <row r="779" spans="4:14" x14ac:dyDescent="0.25">
      <c r="D779">
        <v>1778</v>
      </c>
      <c r="E779" s="4">
        <v>45671</v>
      </c>
      <c r="F779" t="s">
        <v>10</v>
      </c>
      <c r="G779" t="s">
        <v>16</v>
      </c>
      <c r="H779" t="s">
        <v>33</v>
      </c>
      <c r="I779" t="s">
        <v>34</v>
      </c>
      <c r="J779">
        <v>8</v>
      </c>
      <c r="K779" s="1">
        <v>30000</v>
      </c>
      <c r="L779" s="1">
        <f>Table1[[#This Row],[Unit Price]]*Table1[[#This Row],[Units]]</f>
        <v>240000</v>
      </c>
      <c r="M779" s="1">
        <v>54539</v>
      </c>
      <c r="N779" t="s">
        <v>19</v>
      </c>
    </row>
    <row r="780" spans="4:14" x14ac:dyDescent="0.25">
      <c r="D780">
        <v>1779</v>
      </c>
      <c r="E780" s="4">
        <v>45838</v>
      </c>
      <c r="F780" t="s">
        <v>27</v>
      </c>
      <c r="G780" t="s">
        <v>24</v>
      </c>
      <c r="H780" t="s">
        <v>35</v>
      </c>
      <c r="I780" t="s">
        <v>28</v>
      </c>
      <c r="J780">
        <v>10</v>
      </c>
      <c r="K780" s="1">
        <v>2000</v>
      </c>
      <c r="L780" s="1">
        <f>Table1[[#This Row],[Unit Price]]*Table1[[#This Row],[Units]]</f>
        <v>20000</v>
      </c>
      <c r="M780" s="1">
        <v>4015</v>
      </c>
      <c r="N780" t="s">
        <v>14</v>
      </c>
    </row>
    <row r="781" spans="4:14" x14ac:dyDescent="0.25">
      <c r="D781">
        <v>1780</v>
      </c>
      <c r="E781" s="4">
        <v>45730</v>
      </c>
      <c r="F781" t="s">
        <v>23</v>
      </c>
      <c r="G781" t="s">
        <v>11</v>
      </c>
      <c r="H781" t="s">
        <v>30</v>
      </c>
      <c r="I781" t="s">
        <v>13</v>
      </c>
      <c r="J781">
        <v>1</v>
      </c>
      <c r="K781" s="1">
        <v>800</v>
      </c>
      <c r="L781" s="1">
        <f>Table1[[#This Row],[Unit Price]]*Table1[[#This Row],[Units]]</f>
        <v>800</v>
      </c>
      <c r="M781" s="1">
        <v>212</v>
      </c>
      <c r="N781" t="s">
        <v>14</v>
      </c>
    </row>
    <row r="782" spans="4:14" x14ac:dyDescent="0.25">
      <c r="D782">
        <v>1781</v>
      </c>
      <c r="E782" s="4">
        <v>45700</v>
      </c>
      <c r="F782" t="s">
        <v>32</v>
      </c>
      <c r="G782" t="s">
        <v>29</v>
      </c>
      <c r="H782" t="s">
        <v>31</v>
      </c>
      <c r="I782" t="s">
        <v>18</v>
      </c>
      <c r="J782">
        <v>7</v>
      </c>
      <c r="K782" s="1">
        <v>60000</v>
      </c>
      <c r="L782" s="1">
        <f>Table1[[#This Row],[Unit Price]]*Table1[[#This Row],[Units]]</f>
        <v>420000</v>
      </c>
      <c r="M782" s="1">
        <v>114937</v>
      </c>
      <c r="N782" t="s">
        <v>19</v>
      </c>
    </row>
    <row r="783" spans="4:14" x14ac:dyDescent="0.25">
      <c r="D783">
        <v>1782</v>
      </c>
      <c r="E783" s="4">
        <v>45743</v>
      </c>
      <c r="F783" t="s">
        <v>23</v>
      </c>
      <c r="G783" t="s">
        <v>29</v>
      </c>
      <c r="H783" t="s">
        <v>33</v>
      </c>
      <c r="I783" t="s">
        <v>28</v>
      </c>
      <c r="J783">
        <v>2</v>
      </c>
      <c r="K783" s="1">
        <v>2000</v>
      </c>
      <c r="L783" s="1">
        <f>Table1[[#This Row],[Unit Price]]*Table1[[#This Row],[Units]]</f>
        <v>4000</v>
      </c>
      <c r="M783" s="1">
        <v>758</v>
      </c>
      <c r="N783" t="s">
        <v>14</v>
      </c>
    </row>
    <row r="784" spans="4:14" x14ac:dyDescent="0.25">
      <c r="D784">
        <v>1783</v>
      </c>
      <c r="E784" s="4">
        <v>45691</v>
      </c>
      <c r="F784" t="s">
        <v>32</v>
      </c>
      <c r="G784" t="s">
        <v>11</v>
      </c>
      <c r="H784" t="s">
        <v>25</v>
      </c>
      <c r="I784" t="s">
        <v>34</v>
      </c>
      <c r="J784">
        <v>5</v>
      </c>
      <c r="K784" s="1">
        <v>30000</v>
      </c>
      <c r="L784" s="1">
        <f>Table1[[#This Row],[Unit Price]]*Table1[[#This Row],[Units]]</f>
        <v>150000</v>
      </c>
      <c r="M784" s="1">
        <v>43420</v>
      </c>
      <c r="N784" t="s">
        <v>26</v>
      </c>
    </row>
    <row r="785" spans="4:14" x14ac:dyDescent="0.25">
      <c r="D785">
        <v>1784</v>
      </c>
      <c r="E785" s="4">
        <v>45705</v>
      </c>
      <c r="F785" t="s">
        <v>32</v>
      </c>
      <c r="G785" t="s">
        <v>16</v>
      </c>
      <c r="H785" t="s">
        <v>21</v>
      </c>
      <c r="I785" t="s">
        <v>18</v>
      </c>
      <c r="J785">
        <v>1</v>
      </c>
      <c r="K785" s="1">
        <v>60000</v>
      </c>
      <c r="L785" s="1">
        <f>Table1[[#This Row],[Unit Price]]*Table1[[#This Row],[Units]]</f>
        <v>60000</v>
      </c>
      <c r="M785" s="1">
        <v>10760</v>
      </c>
      <c r="N785" t="s">
        <v>26</v>
      </c>
    </row>
    <row r="786" spans="4:14" x14ac:dyDescent="0.25">
      <c r="D786">
        <v>1785</v>
      </c>
      <c r="E786" s="4">
        <v>45806</v>
      </c>
      <c r="F786" t="s">
        <v>15</v>
      </c>
      <c r="G786" t="s">
        <v>11</v>
      </c>
      <c r="H786" t="s">
        <v>12</v>
      </c>
      <c r="I786" t="s">
        <v>13</v>
      </c>
      <c r="J786">
        <v>7</v>
      </c>
      <c r="K786" s="1">
        <v>800</v>
      </c>
      <c r="L786" s="1">
        <f>Table1[[#This Row],[Unit Price]]*Table1[[#This Row],[Units]]</f>
        <v>5600</v>
      </c>
      <c r="M786" s="1">
        <v>1649</v>
      </c>
      <c r="N786" t="s">
        <v>14</v>
      </c>
    </row>
    <row r="787" spans="4:14" x14ac:dyDescent="0.25">
      <c r="D787">
        <v>1786</v>
      </c>
      <c r="E787" s="4">
        <v>45804</v>
      </c>
      <c r="F787" t="s">
        <v>15</v>
      </c>
      <c r="G787" t="s">
        <v>29</v>
      </c>
      <c r="H787" t="s">
        <v>31</v>
      </c>
      <c r="I787" t="s">
        <v>22</v>
      </c>
      <c r="J787">
        <v>2</v>
      </c>
      <c r="K787" s="1">
        <v>15000</v>
      </c>
      <c r="L787" s="1">
        <f>Table1[[#This Row],[Unit Price]]*Table1[[#This Row],[Units]]</f>
        <v>30000</v>
      </c>
      <c r="M787" s="1">
        <v>6453</v>
      </c>
      <c r="N787" t="s">
        <v>14</v>
      </c>
    </row>
    <row r="788" spans="4:14" x14ac:dyDescent="0.25">
      <c r="D788">
        <v>1787</v>
      </c>
      <c r="E788" s="4">
        <v>45695</v>
      </c>
      <c r="F788" t="s">
        <v>32</v>
      </c>
      <c r="G788" t="s">
        <v>29</v>
      </c>
      <c r="H788" t="s">
        <v>12</v>
      </c>
      <c r="I788" t="s">
        <v>22</v>
      </c>
      <c r="J788">
        <v>8</v>
      </c>
      <c r="K788" s="1">
        <v>15000</v>
      </c>
      <c r="L788" s="1">
        <f>Table1[[#This Row],[Unit Price]]*Table1[[#This Row],[Units]]</f>
        <v>120000</v>
      </c>
      <c r="M788" s="1">
        <v>18295</v>
      </c>
      <c r="N788" t="s">
        <v>26</v>
      </c>
    </row>
    <row r="789" spans="4:14" x14ac:dyDescent="0.25">
      <c r="D789">
        <v>1788</v>
      </c>
      <c r="E789" s="4">
        <v>45658</v>
      </c>
      <c r="F789" t="s">
        <v>10</v>
      </c>
      <c r="G789" t="s">
        <v>16</v>
      </c>
      <c r="H789" t="s">
        <v>30</v>
      </c>
      <c r="I789" t="s">
        <v>34</v>
      </c>
      <c r="J789">
        <v>10</v>
      </c>
      <c r="K789" s="1">
        <v>30000</v>
      </c>
      <c r="L789" s="1">
        <f>Table1[[#This Row],[Unit Price]]*Table1[[#This Row],[Units]]</f>
        <v>300000</v>
      </c>
      <c r="M789" s="1">
        <v>66161</v>
      </c>
      <c r="N789" t="s">
        <v>19</v>
      </c>
    </row>
    <row r="790" spans="4:14" x14ac:dyDescent="0.25">
      <c r="D790">
        <v>1789</v>
      </c>
      <c r="E790" s="4">
        <v>45788</v>
      </c>
      <c r="F790" t="s">
        <v>15</v>
      </c>
      <c r="G790" t="s">
        <v>11</v>
      </c>
      <c r="H790" t="s">
        <v>35</v>
      </c>
      <c r="I790" t="s">
        <v>18</v>
      </c>
      <c r="J790">
        <v>5</v>
      </c>
      <c r="K790" s="1">
        <v>60000</v>
      </c>
      <c r="L790" s="1">
        <f>Table1[[#This Row],[Unit Price]]*Table1[[#This Row],[Units]]</f>
        <v>300000</v>
      </c>
      <c r="M790" s="1">
        <v>96849</v>
      </c>
      <c r="N790" t="s">
        <v>19</v>
      </c>
    </row>
    <row r="791" spans="4:14" x14ac:dyDescent="0.25">
      <c r="D791">
        <v>1790</v>
      </c>
      <c r="E791" s="4">
        <v>45715</v>
      </c>
      <c r="F791" t="s">
        <v>32</v>
      </c>
      <c r="G791" t="s">
        <v>24</v>
      </c>
      <c r="H791" t="s">
        <v>12</v>
      </c>
      <c r="I791" t="s">
        <v>22</v>
      </c>
      <c r="J791">
        <v>7</v>
      </c>
      <c r="K791" s="1">
        <v>15000</v>
      </c>
      <c r="L791" s="1">
        <f>Table1[[#This Row],[Unit Price]]*Table1[[#This Row],[Units]]</f>
        <v>105000</v>
      </c>
      <c r="M791" s="1">
        <v>22051</v>
      </c>
      <c r="N791" t="s">
        <v>26</v>
      </c>
    </row>
    <row r="792" spans="4:14" x14ac:dyDescent="0.25">
      <c r="D792">
        <v>1791</v>
      </c>
      <c r="E792" s="4">
        <v>45683</v>
      </c>
      <c r="F792" t="s">
        <v>10</v>
      </c>
      <c r="G792" t="s">
        <v>24</v>
      </c>
      <c r="H792" t="s">
        <v>33</v>
      </c>
      <c r="I792" t="s">
        <v>34</v>
      </c>
      <c r="J792">
        <v>4</v>
      </c>
      <c r="K792" s="1">
        <v>30000</v>
      </c>
      <c r="L792" s="1">
        <f>Table1[[#This Row],[Unit Price]]*Table1[[#This Row],[Units]]</f>
        <v>120000</v>
      </c>
      <c r="M792" s="1">
        <v>33454</v>
      </c>
      <c r="N792" t="s">
        <v>26</v>
      </c>
    </row>
    <row r="793" spans="4:14" x14ac:dyDescent="0.25">
      <c r="D793">
        <v>1792</v>
      </c>
      <c r="E793" s="4">
        <v>45759</v>
      </c>
      <c r="F793" t="s">
        <v>20</v>
      </c>
      <c r="G793" t="s">
        <v>16</v>
      </c>
      <c r="H793" t="s">
        <v>35</v>
      </c>
      <c r="I793" t="s">
        <v>22</v>
      </c>
      <c r="J793">
        <v>9</v>
      </c>
      <c r="K793" s="1">
        <v>15000</v>
      </c>
      <c r="L793" s="1">
        <f>Table1[[#This Row],[Unit Price]]*Table1[[#This Row],[Units]]</f>
        <v>135000</v>
      </c>
      <c r="M793" s="1">
        <v>31993</v>
      </c>
      <c r="N793" t="s">
        <v>26</v>
      </c>
    </row>
    <row r="794" spans="4:14" x14ac:dyDescent="0.25">
      <c r="D794">
        <v>1793</v>
      </c>
      <c r="E794" s="4">
        <v>45658</v>
      </c>
      <c r="F794" t="s">
        <v>10</v>
      </c>
      <c r="G794" t="s">
        <v>11</v>
      </c>
      <c r="H794" t="s">
        <v>33</v>
      </c>
      <c r="I794" t="s">
        <v>22</v>
      </c>
      <c r="J794">
        <v>1</v>
      </c>
      <c r="K794" s="1">
        <v>15000</v>
      </c>
      <c r="L794" s="1">
        <f>Table1[[#This Row],[Unit Price]]*Table1[[#This Row],[Units]]</f>
        <v>15000</v>
      </c>
      <c r="M794" s="1">
        <v>3944</v>
      </c>
      <c r="N794" t="s">
        <v>14</v>
      </c>
    </row>
    <row r="795" spans="4:14" x14ac:dyDescent="0.25">
      <c r="D795">
        <v>1794</v>
      </c>
      <c r="E795" s="4">
        <v>45755</v>
      </c>
      <c r="F795" t="s">
        <v>20</v>
      </c>
      <c r="G795" t="s">
        <v>16</v>
      </c>
      <c r="H795" t="s">
        <v>33</v>
      </c>
      <c r="I795" t="s">
        <v>18</v>
      </c>
      <c r="J795">
        <v>2</v>
      </c>
      <c r="K795" s="1">
        <v>60000</v>
      </c>
      <c r="L795" s="1">
        <f>Table1[[#This Row],[Unit Price]]*Table1[[#This Row],[Units]]</f>
        <v>120000</v>
      </c>
      <c r="M795" s="1">
        <v>32792</v>
      </c>
      <c r="N795" t="s">
        <v>26</v>
      </c>
    </row>
    <row r="796" spans="4:14" x14ac:dyDescent="0.25">
      <c r="D796">
        <v>1795</v>
      </c>
      <c r="E796" s="4">
        <v>45833</v>
      </c>
      <c r="F796" t="s">
        <v>27</v>
      </c>
      <c r="G796" t="s">
        <v>16</v>
      </c>
      <c r="H796" t="s">
        <v>31</v>
      </c>
      <c r="I796" t="s">
        <v>28</v>
      </c>
      <c r="J796">
        <v>3</v>
      </c>
      <c r="K796" s="1">
        <v>2000</v>
      </c>
      <c r="L796" s="1">
        <f>Table1[[#This Row],[Unit Price]]*Table1[[#This Row],[Units]]</f>
        <v>6000</v>
      </c>
      <c r="M796" s="1">
        <v>1546</v>
      </c>
      <c r="N796" t="s">
        <v>14</v>
      </c>
    </row>
    <row r="797" spans="4:14" x14ac:dyDescent="0.25">
      <c r="D797">
        <v>1796</v>
      </c>
      <c r="E797" s="4">
        <v>45667</v>
      </c>
      <c r="F797" t="s">
        <v>10</v>
      </c>
      <c r="G797" t="s">
        <v>11</v>
      </c>
      <c r="H797" t="s">
        <v>12</v>
      </c>
      <c r="I797" t="s">
        <v>34</v>
      </c>
      <c r="J797">
        <v>8</v>
      </c>
      <c r="K797" s="1">
        <v>30000</v>
      </c>
      <c r="L797" s="1">
        <f>Table1[[#This Row],[Unit Price]]*Table1[[#This Row],[Units]]</f>
        <v>240000</v>
      </c>
      <c r="M797" s="1">
        <v>77337</v>
      </c>
      <c r="N797" t="s">
        <v>19</v>
      </c>
    </row>
    <row r="798" spans="4:14" x14ac:dyDescent="0.25">
      <c r="D798">
        <v>1797</v>
      </c>
      <c r="E798" s="4">
        <v>45829</v>
      </c>
      <c r="F798" t="s">
        <v>27</v>
      </c>
      <c r="G798" t="s">
        <v>24</v>
      </c>
      <c r="H798" t="s">
        <v>35</v>
      </c>
      <c r="I798" t="s">
        <v>34</v>
      </c>
      <c r="J798">
        <v>4</v>
      </c>
      <c r="K798" s="1">
        <v>30000</v>
      </c>
      <c r="L798" s="1">
        <f>Table1[[#This Row],[Unit Price]]*Table1[[#This Row],[Units]]</f>
        <v>120000</v>
      </c>
      <c r="M798" s="1">
        <v>41576</v>
      </c>
      <c r="N798" t="s">
        <v>26</v>
      </c>
    </row>
    <row r="799" spans="4:14" x14ac:dyDescent="0.25">
      <c r="D799">
        <v>1798</v>
      </c>
      <c r="E799" s="4">
        <v>45836</v>
      </c>
      <c r="F799" t="s">
        <v>27</v>
      </c>
      <c r="G799" t="s">
        <v>29</v>
      </c>
      <c r="H799" t="s">
        <v>30</v>
      </c>
      <c r="I799" t="s">
        <v>28</v>
      </c>
      <c r="J799">
        <v>6</v>
      </c>
      <c r="K799" s="1">
        <v>2000</v>
      </c>
      <c r="L799" s="1">
        <f>Table1[[#This Row],[Unit Price]]*Table1[[#This Row],[Units]]</f>
        <v>12000</v>
      </c>
      <c r="M799" s="1">
        <v>3108</v>
      </c>
      <c r="N799" t="s">
        <v>14</v>
      </c>
    </row>
    <row r="800" spans="4:14" x14ac:dyDescent="0.25">
      <c r="D800">
        <v>1799</v>
      </c>
      <c r="E800" s="4">
        <v>45728</v>
      </c>
      <c r="F800" t="s">
        <v>23</v>
      </c>
      <c r="G800" t="s">
        <v>11</v>
      </c>
      <c r="H800" t="s">
        <v>30</v>
      </c>
      <c r="I800" t="s">
        <v>28</v>
      </c>
      <c r="J800">
        <v>3</v>
      </c>
      <c r="K800" s="1">
        <v>2000</v>
      </c>
      <c r="L800" s="1">
        <f>Table1[[#This Row],[Unit Price]]*Table1[[#This Row],[Units]]</f>
        <v>6000</v>
      </c>
      <c r="M800" s="1">
        <v>900</v>
      </c>
      <c r="N800" t="s">
        <v>14</v>
      </c>
    </row>
    <row r="801" spans="4:14" x14ac:dyDescent="0.25">
      <c r="D801">
        <v>1800</v>
      </c>
      <c r="E801" s="4">
        <v>45672</v>
      </c>
      <c r="F801" t="s">
        <v>10</v>
      </c>
      <c r="G801" t="s">
        <v>24</v>
      </c>
      <c r="H801" t="s">
        <v>35</v>
      </c>
      <c r="I801" t="s">
        <v>13</v>
      </c>
      <c r="J801">
        <v>6</v>
      </c>
      <c r="K801" s="1">
        <v>800</v>
      </c>
      <c r="L801" s="1">
        <f>Table1[[#This Row],[Unit Price]]*Table1[[#This Row],[Units]]</f>
        <v>4800</v>
      </c>
      <c r="M801" s="1">
        <v>1437</v>
      </c>
      <c r="N801" t="s">
        <v>14</v>
      </c>
    </row>
    <row r="802" spans="4:14" x14ac:dyDescent="0.25">
      <c r="D802">
        <v>1801</v>
      </c>
      <c r="E802" s="4">
        <v>45701</v>
      </c>
      <c r="F802" t="s">
        <v>32</v>
      </c>
      <c r="G802" t="s">
        <v>24</v>
      </c>
      <c r="H802" t="s">
        <v>12</v>
      </c>
      <c r="I802" t="s">
        <v>18</v>
      </c>
      <c r="J802">
        <v>7</v>
      </c>
      <c r="K802" s="1">
        <v>60000</v>
      </c>
      <c r="L802" s="1">
        <f>Table1[[#This Row],[Unit Price]]*Table1[[#This Row],[Units]]</f>
        <v>420000</v>
      </c>
      <c r="M802" s="1">
        <v>64680</v>
      </c>
      <c r="N802" t="s">
        <v>19</v>
      </c>
    </row>
    <row r="803" spans="4:14" x14ac:dyDescent="0.25">
      <c r="D803">
        <v>1802</v>
      </c>
      <c r="E803" s="4">
        <v>45756</v>
      </c>
      <c r="F803" t="s">
        <v>20</v>
      </c>
      <c r="G803" t="s">
        <v>16</v>
      </c>
      <c r="H803" t="s">
        <v>31</v>
      </c>
      <c r="I803" t="s">
        <v>22</v>
      </c>
      <c r="J803">
        <v>4</v>
      </c>
      <c r="K803" s="1">
        <v>15000</v>
      </c>
      <c r="L803" s="1">
        <f>Table1[[#This Row],[Unit Price]]*Table1[[#This Row],[Units]]</f>
        <v>60000</v>
      </c>
      <c r="M803" s="1">
        <v>16141</v>
      </c>
      <c r="N803" t="s">
        <v>26</v>
      </c>
    </row>
    <row r="804" spans="4:14" x14ac:dyDescent="0.25">
      <c r="D804">
        <v>1803</v>
      </c>
      <c r="E804" s="4">
        <v>45824</v>
      </c>
      <c r="F804" t="s">
        <v>27</v>
      </c>
      <c r="G804" t="s">
        <v>16</v>
      </c>
      <c r="H804" t="s">
        <v>30</v>
      </c>
      <c r="I804" t="s">
        <v>28</v>
      </c>
      <c r="J804">
        <v>6</v>
      </c>
      <c r="K804" s="1">
        <v>2000</v>
      </c>
      <c r="L804" s="1">
        <f>Table1[[#This Row],[Unit Price]]*Table1[[#This Row],[Units]]</f>
        <v>12000</v>
      </c>
      <c r="M804" s="1">
        <v>2955</v>
      </c>
      <c r="N804" t="s">
        <v>14</v>
      </c>
    </row>
    <row r="805" spans="4:14" x14ac:dyDescent="0.25">
      <c r="D805">
        <v>1804</v>
      </c>
      <c r="E805" s="4">
        <v>45837</v>
      </c>
      <c r="F805" t="s">
        <v>27</v>
      </c>
      <c r="G805" t="s">
        <v>24</v>
      </c>
      <c r="H805" t="s">
        <v>31</v>
      </c>
      <c r="I805" t="s">
        <v>28</v>
      </c>
      <c r="J805">
        <v>2</v>
      </c>
      <c r="K805" s="1">
        <v>2000</v>
      </c>
      <c r="L805" s="1">
        <f>Table1[[#This Row],[Unit Price]]*Table1[[#This Row],[Units]]</f>
        <v>4000</v>
      </c>
      <c r="M805" s="1">
        <v>1037</v>
      </c>
      <c r="N805" t="s">
        <v>14</v>
      </c>
    </row>
    <row r="806" spans="4:14" x14ac:dyDescent="0.25">
      <c r="D806">
        <v>1805</v>
      </c>
      <c r="E806" s="4">
        <v>45760</v>
      </c>
      <c r="F806" t="s">
        <v>20</v>
      </c>
      <c r="G806" t="s">
        <v>24</v>
      </c>
      <c r="H806" t="s">
        <v>31</v>
      </c>
      <c r="I806" t="s">
        <v>18</v>
      </c>
      <c r="J806">
        <v>6</v>
      </c>
      <c r="K806" s="1">
        <v>60000</v>
      </c>
      <c r="L806" s="1">
        <f>Table1[[#This Row],[Unit Price]]*Table1[[#This Row],[Units]]</f>
        <v>360000</v>
      </c>
      <c r="M806" s="1">
        <v>76808</v>
      </c>
      <c r="N806" t="s">
        <v>19</v>
      </c>
    </row>
    <row r="807" spans="4:14" x14ac:dyDescent="0.25">
      <c r="D807">
        <v>1806</v>
      </c>
      <c r="E807" s="4">
        <v>45700</v>
      </c>
      <c r="F807" t="s">
        <v>32</v>
      </c>
      <c r="G807" t="s">
        <v>24</v>
      </c>
      <c r="H807" t="s">
        <v>31</v>
      </c>
      <c r="I807" t="s">
        <v>13</v>
      </c>
      <c r="J807">
        <v>2</v>
      </c>
      <c r="K807" s="1">
        <v>800</v>
      </c>
      <c r="L807" s="1">
        <f>Table1[[#This Row],[Unit Price]]*Table1[[#This Row],[Units]]</f>
        <v>1600</v>
      </c>
      <c r="M807" s="1">
        <v>547</v>
      </c>
      <c r="N807" t="s">
        <v>14</v>
      </c>
    </row>
    <row r="808" spans="4:14" x14ac:dyDescent="0.25">
      <c r="D808">
        <v>1807</v>
      </c>
      <c r="E808" s="4">
        <v>45814</v>
      </c>
      <c r="F808" t="s">
        <v>27</v>
      </c>
      <c r="G808" t="s">
        <v>29</v>
      </c>
      <c r="H808" t="s">
        <v>31</v>
      </c>
      <c r="I808" t="s">
        <v>13</v>
      </c>
      <c r="J808">
        <v>7</v>
      </c>
      <c r="K808" s="1">
        <v>800</v>
      </c>
      <c r="L808" s="1">
        <f>Table1[[#This Row],[Unit Price]]*Table1[[#This Row],[Units]]</f>
        <v>5600</v>
      </c>
      <c r="M808" s="1">
        <v>1380</v>
      </c>
      <c r="N808" t="s">
        <v>14</v>
      </c>
    </row>
    <row r="809" spans="4:14" x14ac:dyDescent="0.25">
      <c r="D809">
        <v>1808</v>
      </c>
      <c r="E809" s="4">
        <v>45680</v>
      </c>
      <c r="F809" t="s">
        <v>10</v>
      </c>
      <c r="G809" t="s">
        <v>29</v>
      </c>
      <c r="H809" t="s">
        <v>21</v>
      </c>
      <c r="I809" t="s">
        <v>18</v>
      </c>
      <c r="J809">
        <v>7</v>
      </c>
      <c r="K809" s="1">
        <v>60000</v>
      </c>
      <c r="L809" s="1">
        <f>Table1[[#This Row],[Unit Price]]*Table1[[#This Row],[Units]]</f>
        <v>420000</v>
      </c>
      <c r="M809" s="1">
        <v>105345</v>
      </c>
      <c r="N809" t="s">
        <v>19</v>
      </c>
    </row>
    <row r="810" spans="4:14" x14ac:dyDescent="0.25">
      <c r="D810">
        <v>1809</v>
      </c>
      <c r="E810" s="4">
        <v>45732</v>
      </c>
      <c r="F810" t="s">
        <v>23</v>
      </c>
      <c r="G810" t="s">
        <v>29</v>
      </c>
      <c r="H810" t="s">
        <v>17</v>
      </c>
      <c r="I810" t="s">
        <v>13</v>
      </c>
      <c r="J810">
        <v>6</v>
      </c>
      <c r="K810" s="1">
        <v>800</v>
      </c>
      <c r="L810" s="1">
        <f>Table1[[#This Row],[Unit Price]]*Table1[[#This Row],[Units]]</f>
        <v>4800</v>
      </c>
      <c r="M810" s="1">
        <v>802</v>
      </c>
      <c r="N810" t="s">
        <v>14</v>
      </c>
    </row>
    <row r="811" spans="4:14" x14ac:dyDescent="0.25">
      <c r="D811">
        <v>1810</v>
      </c>
      <c r="E811" s="4">
        <v>45694</v>
      </c>
      <c r="F811" t="s">
        <v>32</v>
      </c>
      <c r="G811" t="s">
        <v>29</v>
      </c>
      <c r="H811" t="s">
        <v>21</v>
      </c>
      <c r="I811" t="s">
        <v>18</v>
      </c>
      <c r="J811">
        <v>7</v>
      </c>
      <c r="K811" s="1">
        <v>60000</v>
      </c>
      <c r="L811" s="1">
        <f>Table1[[#This Row],[Unit Price]]*Table1[[#This Row],[Units]]</f>
        <v>420000</v>
      </c>
      <c r="M811" s="1">
        <v>101398</v>
      </c>
      <c r="N811" t="s">
        <v>19</v>
      </c>
    </row>
    <row r="812" spans="4:14" x14ac:dyDescent="0.25">
      <c r="D812">
        <v>1811</v>
      </c>
      <c r="E812" s="4">
        <v>45768</v>
      </c>
      <c r="F812" t="s">
        <v>20</v>
      </c>
      <c r="G812" t="s">
        <v>16</v>
      </c>
      <c r="H812" t="s">
        <v>35</v>
      </c>
      <c r="I812" t="s">
        <v>28</v>
      </c>
      <c r="J812">
        <v>7</v>
      </c>
      <c r="K812" s="1">
        <v>2000</v>
      </c>
      <c r="L812" s="1">
        <f>Table1[[#This Row],[Unit Price]]*Table1[[#This Row],[Units]]</f>
        <v>14000</v>
      </c>
      <c r="M812" s="1">
        <v>2485</v>
      </c>
      <c r="N812" t="s">
        <v>14</v>
      </c>
    </row>
    <row r="813" spans="4:14" x14ac:dyDescent="0.25">
      <c r="D813">
        <v>1812</v>
      </c>
      <c r="E813" s="4">
        <v>45718</v>
      </c>
      <c r="F813" t="s">
        <v>23</v>
      </c>
      <c r="G813" t="s">
        <v>11</v>
      </c>
      <c r="H813" t="s">
        <v>17</v>
      </c>
      <c r="I813" t="s">
        <v>22</v>
      </c>
      <c r="J813">
        <v>8</v>
      </c>
      <c r="K813" s="1">
        <v>15000</v>
      </c>
      <c r="L813" s="1">
        <f>Table1[[#This Row],[Unit Price]]*Table1[[#This Row],[Units]]</f>
        <v>120000</v>
      </c>
      <c r="M813" s="1">
        <v>38304</v>
      </c>
      <c r="N813" t="s">
        <v>26</v>
      </c>
    </row>
    <row r="814" spans="4:14" x14ac:dyDescent="0.25">
      <c r="D814">
        <v>1813</v>
      </c>
      <c r="E814" s="4">
        <v>45659</v>
      </c>
      <c r="F814" t="s">
        <v>10</v>
      </c>
      <c r="G814" t="s">
        <v>16</v>
      </c>
      <c r="H814" t="s">
        <v>12</v>
      </c>
      <c r="I814" t="s">
        <v>13</v>
      </c>
      <c r="J814">
        <v>8</v>
      </c>
      <c r="K814" s="1">
        <v>800</v>
      </c>
      <c r="L814" s="1">
        <f>Table1[[#This Row],[Unit Price]]*Table1[[#This Row],[Units]]</f>
        <v>6400</v>
      </c>
      <c r="M814" s="1">
        <v>1688</v>
      </c>
      <c r="N814" t="s">
        <v>14</v>
      </c>
    </row>
    <row r="815" spans="4:14" x14ac:dyDescent="0.25">
      <c r="D815">
        <v>1814</v>
      </c>
      <c r="E815" s="4">
        <v>45687</v>
      </c>
      <c r="F815" t="s">
        <v>10</v>
      </c>
      <c r="G815" t="s">
        <v>16</v>
      </c>
      <c r="H815" t="s">
        <v>35</v>
      </c>
      <c r="I815" t="s">
        <v>34</v>
      </c>
      <c r="J815">
        <v>1</v>
      </c>
      <c r="K815" s="1">
        <v>30000</v>
      </c>
      <c r="L815" s="1">
        <f>Table1[[#This Row],[Unit Price]]*Table1[[#This Row],[Units]]</f>
        <v>30000</v>
      </c>
      <c r="M815" s="1">
        <v>6551</v>
      </c>
      <c r="N815" t="s">
        <v>14</v>
      </c>
    </row>
    <row r="816" spans="4:14" x14ac:dyDescent="0.25">
      <c r="D816">
        <v>1815</v>
      </c>
      <c r="E816" s="4">
        <v>45729</v>
      </c>
      <c r="F816" t="s">
        <v>23</v>
      </c>
      <c r="G816" t="s">
        <v>29</v>
      </c>
      <c r="H816" t="s">
        <v>31</v>
      </c>
      <c r="I816" t="s">
        <v>28</v>
      </c>
      <c r="J816">
        <v>8</v>
      </c>
      <c r="K816" s="1">
        <v>2000</v>
      </c>
      <c r="L816" s="1">
        <f>Table1[[#This Row],[Unit Price]]*Table1[[#This Row],[Units]]</f>
        <v>16000</v>
      </c>
      <c r="M816" s="1">
        <v>3309</v>
      </c>
      <c r="N816" t="s">
        <v>14</v>
      </c>
    </row>
    <row r="817" spans="4:14" x14ac:dyDescent="0.25">
      <c r="D817">
        <v>1816</v>
      </c>
      <c r="E817" s="4">
        <v>45681</v>
      </c>
      <c r="F817" t="s">
        <v>10</v>
      </c>
      <c r="G817" t="s">
        <v>24</v>
      </c>
      <c r="H817" t="s">
        <v>12</v>
      </c>
      <c r="I817" t="s">
        <v>34</v>
      </c>
      <c r="J817">
        <v>3</v>
      </c>
      <c r="K817" s="1">
        <v>30000</v>
      </c>
      <c r="L817" s="1">
        <f>Table1[[#This Row],[Unit Price]]*Table1[[#This Row],[Units]]</f>
        <v>90000</v>
      </c>
      <c r="M817" s="1">
        <v>20874</v>
      </c>
      <c r="N817" t="s">
        <v>26</v>
      </c>
    </row>
    <row r="818" spans="4:14" x14ac:dyDescent="0.25">
      <c r="D818">
        <v>1817</v>
      </c>
      <c r="E818" s="4">
        <v>45663</v>
      </c>
      <c r="F818" t="s">
        <v>10</v>
      </c>
      <c r="G818" t="s">
        <v>11</v>
      </c>
      <c r="H818" t="s">
        <v>21</v>
      </c>
      <c r="I818" t="s">
        <v>22</v>
      </c>
      <c r="J818">
        <v>8</v>
      </c>
      <c r="K818" s="1">
        <v>15000</v>
      </c>
      <c r="L818" s="1">
        <f>Table1[[#This Row],[Unit Price]]*Table1[[#This Row],[Units]]</f>
        <v>120000</v>
      </c>
      <c r="M818" s="1">
        <v>28830</v>
      </c>
      <c r="N818" t="s">
        <v>26</v>
      </c>
    </row>
    <row r="819" spans="4:14" x14ac:dyDescent="0.25">
      <c r="D819">
        <v>1818</v>
      </c>
      <c r="E819" s="4">
        <v>45702</v>
      </c>
      <c r="F819" t="s">
        <v>32</v>
      </c>
      <c r="G819" t="s">
        <v>11</v>
      </c>
      <c r="H819" t="s">
        <v>12</v>
      </c>
      <c r="I819" t="s">
        <v>22</v>
      </c>
      <c r="J819">
        <v>3</v>
      </c>
      <c r="K819" s="1">
        <v>15000</v>
      </c>
      <c r="L819" s="1">
        <f>Table1[[#This Row],[Unit Price]]*Table1[[#This Row],[Units]]</f>
        <v>45000</v>
      </c>
      <c r="M819" s="1">
        <v>8721</v>
      </c>
      <c r="N819" t="s">
        <v>14</v>
      </c>
    </row>
    <row r="820" spans="4:14" x14ac:dyDescent="0.25">
      <c r="D820">
        <v>1819</v>
      </c>
      <c r="E820" s="4">
        <v>45815</v>
      </c>
      <c r="F820" t="s">
        <v>27</v>
      </c>
      <c r="G820" t="s">
        <v>24</v>
      </c>
      <c r="H820" t="s">
        <v>30</v>
      </c>
      <c r="I820" t="s">
        <v>22</v>
      </c>
      <c r="J820">
        <v>1</v>
      </c>
      <c r="K820" s="1">
        <v>15000</v>
      </c>
      <c r="L820" s="1">
        <f>Table1[[#This Row],[Unit Price]]*Table1[[#This Row],[Units]]</f>
        <v>15000</v>
      </c>
      <c r="M820" s="1">
        <v>3439</v>
      </c>
      <c r="N820" t="s">
        <v>14</v>
      </c>
    </row>
    <row r="821" spans="4:14" x14ac:dyDescent="0.25">
      <c r="D821">
        <v>1820</v>
      </c>
      <c r="E821" s="4">
        <v>45719</v>
      </c>
      <c r="F821" t="s">
        <v>23</v>
      </c>
      <c r="G821" t="s">
        <v>11</v>
      </c>
      <c r="H821" t="s">
        <v>35</v>
      </c>
      <c r="I821" t="s">
        <v>28</v>
      </c>
      <c r="J821">
        <v>10</v>
      </c>
      <c r="K821" s="1">
        <v>2000</v>
      </c>
      <c r="L821" s="1">
        <f>Table1[[#This Row],[Unit Price]]*Table1[[#This Row],[Units]]</f>
        <v>20000</v>
      </c>
      <c r="M821" s="1">
        <v>5481</v>
      </c>
      <c r="N821" t="s">
        <v>14</v>
      </c>
    </row>
    <row r="822" spans="4:14" x14ac:dyDescent="0.25">
      <c r="D822">
        <v>1821</v>
      </c>
      <c r="E822" s="4">
        <v>45686</v>
      </c>
      <c r="F822" t="s">
        <v>10</v>
      </c>
      <c r="G822" t="s">
        <v>29</v>
      </c>
      <c r="H822" t="s">
        <v>12</v>
      </c>
      <c r="I822" t="s">
        <v>13</v>
      </c>
      <c r="J822">
        <v>9</v>
      </c>
      <c r="K822" s="1">
        <v>800</v>
      </c>
      <c r="L822" s="1">
        <f>Table1[[#This Row],[Unit Price]]*Table1[[#This Row],[Units]]</f>
        <v>7200</v>
      </c>
      <c r="M822" s="1">
        <v>1238</v>
      </c>
      <c r="N822" t="s">
        <v>14</v>
      </c>
    </row>
    <row r="823" spans="4:14" x14ac:dyDescent="0.25">
      <c r="D823">
        <v>1822</v>
      </c>
      <c r="E823" s="4">
        <v>45708</v>
      </c>
      <c r="F823" t="s">
        <v>32</v>
      </c>
      <c r="G823" t="s">
        <v>29</v>
      </c>
      <c r="H823" t="s">
        <v>35</v>
      </c>
      <c r="I823" t="s">
        <v>34</v>
      </c>
      <c r="J823">
        <v>9</v>
      </c>
      <c r="K823" s="1">
        <v>30000</v>
      </c>
      <c r="L823" s="1">
        <f>Table1[[#This Row],[Unit Price]]*Table1[[#This Row],[Units]]</f>
        <v>270000</v>
      </c>
      <c r="M823" s="1">
        <v>92607</v>
      </c>
      <c r="N823" t="s">
        <v>19</v>
      </c>
    </row>
    <row r="824" spans="4:14" x14ac:dyDescent="0.25">
      <c r="D824">
        <v>1823</v>
      </c>
      <c r="E824" s="4">
        <v>45819</v>
      </c>
      <c r="F824" t="s">
        <v>27</v>
      </c>
      <c r="G824" t="s">
        <v>24</v>
      </c>
      <c r="H824" t="s">
        <v>33</v>
      </c>
      <c r="I824" t="s">
        <v>34</v>
      </c>
      <c r="J824">
        <v>7</v>
      </c>
      <c r="K824" s="1">
        <v>30000</v>
      </c>
      <c r="L824" s="1">
        <f>Table1[[#This Row],[Unit Price]]*Table1[[#This Row],[Units]]</f>
        <v>210000</v>
      </c>
      <c r="M824" s="1">
        <v>63392</v>
      </c>
      <c r="N824" t="s">
        <v>19</v>
      </c>
    </row>
    <row r="825" spans="4:14" x14ac:dyDescent="0.25">
      <c r="D825">
        <v>1824</v>
      </c>
      <c r="E825" s="4">
        <v>45682</v>
      </c>
      <c r="F825" t="s">
        <v>10</v>
      </c>
      <c r="G825" t="s">
        <v>24</v>
      </c>
      <c r="H825" t="s">
        <v>31</v>
      </c>
      <c r="I825" t="s">
        <v>34</v>
      </c>
      <c r="J825">
        <v>10</v>
      </c>
      <c r="K825" s="1">
        <v>30000</v>
      </c>
      <c r="L825" s="1">
        <f>Table1[[#This Row],[Unit Price]]*Table1[[#This Row],[Units]]</f>
        <v>300000</v>
      </c>
      <c r="M825" s="1">
        <v>103906</v>
      </c>
      <c r="N825" t="s">
        <v>19</v>
      </c>
    </row>
    <row r="826" spans="4:14" x14ac:dyDescent="0.25">
      <c r="D826">
        <v>1825</v>
      </c>
      <c r="E826" s="4">
        <v>45712</v>
      </c>
      <c r="F826" t="s">
        <v>32</v>
      </c>
      <c r="G826" t="s">
        <v>24</v>
      </c>
      <c r="H826" t="s">
        <v>33</v>
      </c>
      <c r="I826" t="s">
        <v>22</v>
      </c>
      <c r="J826">
        <v>9</v>
      </c>
      <c r="K826" s="1">
        <v>15000</v>
      </c>
      <c r="L826" s="1">
        <f>Table1[[#This Row],[Unit Price]]*Table1[[#This Row],[Units]]</f>
        <v>135000</v>
      </c>
      <c r="M826" s="1">
        <v>40214</v>
      </c>
      <c r="N826" t="s">
        <v>26</v>
      </c>
    </row>
    <row r="827" spans="4:14" x14ac:dyDescent="0.25">
      <c r="D827">
        <v>1826</v>
      </c>
      <c r="E827" s="4">
        <v>45689</v>
      </c>
      <c r="F827" t="s">
        <v>32</v>
      </c>
      <c r="G827" t="s">
        <v>11</v>
      </c>
      <c r="H827" t="s">
        <v>33</v>
      </c>
      <c r="I827" t="s">
        <v>22</v>
      </c>
      <c r="J827">
        <v>10</v>
      </c>
      <c r="K827" s="1">
        <v>15000</v>
      </c>
      <c r="L827" s="1">
        <f>Table1[[#This Row],[Unit Price]]*Table1[[#This Row],[Units]]</f>
        <v>150000</v>
      </c>
      <c r="M827" s="1">
        <v>22926</v>
      </c>
      <c r="N827" t="s">
        <v>26</v>
      </c>
    </row>
    <row r="828" spans="4:14" x14ac:dyDescent="0.25">
      <c r="D828">
        <v>1827</v>
      </c>
      <c r="E828" s="4">
        <v>45716</v>
      </c>
      <c r="F828" t="s">
        <v>32</v>
      </c>
      <c r="G828" t="s">
        <v>24</v>
      </c>
      <c r="H828" t="s">
        <v>25</v>
      </c>
      <c r="I828" t="s">
        <v>13</v>
      </c>
      <c r="J828">
        <v>9</v>
      </c>
      <c r="K828" s="1">
        <v>800</v>
      </c>
      <c r="L828" s="1">
        <f>Table1[[#This Row],[Unit Price]]*Table1[[#This Row],[Units]]</f>
        <v>7200</v>
      </c>
      <c r="M828" s="1">
        <v>2469</v>
      </c>
      <c r="N828" t="s">
        <v>14</v>
      </c>
    </row>
    <row r="829" spans="4:14" x14ac:dyDescent="0.25">
      <c r="D829">
        <v>1828</v>
      </c>
      <c r="E829" s="4">
        <v>45754</v>
      </c>
      <c r="F829" t="s">
        <v>20</v>
      </c>
      <c r="G829" t="s">
        <v>29</v>
      </c>
      <c r="H829" t="s">
        <v>33</v>
      </c>
      <c r="I829" t="s">
        <v>13</v>
      </c>
      <c r="J829">
        <v>2</v>
      </c>
      <c r="K829" s="1">
        <v>800</v>
      </c>
      <c r="L829" s="1">
        <f>Table1[[#This Row],[Unit Price]]*Table1[[#This Row],[Units]]</f>
        <v>1600</v>
      </c>
      <c r="M829" s="1">
        <v>384</v>
      </c>
      <c r="N829" t="s">
        <v>14</v>
      </c>
    </row>
    <row r="830" spans="4:14" x14ac:dyDescent="0.25">
      <c r="D830">
        <v>1829</v>
      </c>
      <c r="E830" s="4">
        <v>45702</v>
      </c>
      <c r="F830" t="s">
        <v>32</v>
      </c>
      <c r="G830" t="s">
        <v>29</v>
      </c>
      <c r="H830" t="s">
        <v>17</v>
      </c>
      <c r="I830" t="s">
        <v>18</v>
      </c>
      <c r="J830">
        <v>4</v>
      </c>
      <c r="K830" s="1">
        <v>60000</v>
      </c>
      <c r="L830" s="1">
        <f>Table1[[#This Row],[Unit Price]]*Table1[[#This Row],[Units]]</f>
        <v>240000</v>
      </c>
      <c r="M830" s="1">
        <v>42412</v>
      </c>
      <c r="N830" t="s">
        <v>19</v>
      </c>
    </row>
    <row r="831" spans="4:14" x14ac:dyDescent="0.25">
      <c r="D831">
        <v>1830</v>
      </c>
      <c r="E831" s="4">
        <v>45765</v>
      </c>
      <c r="F831" t="s">
        <v>20</v>
      </c>
      <c r="G831" t="s">
        <v>16</v>
      </c>
      <c r="H831" t="s">
        <v>35</v>
      </c>
      <c r="I831" t="s">
        <v>18</v>
      </c>
      <c r="J831">
        <v>7</v>
      </c>
      <c r="K831" s="1">
        <v>60000</v>
      </c>
      <c r="L831" s="1">
        <f>Table1[[#This Row],[Unit Price]]*Table1[[#This Row],[Units]]</f>
        <v>420000</v>
      </c>
      <c r="M831" s="1">
        <v>70922</v>
      </c>
      <c r="N831" t="s">
        <v>19</v>
      </c>
    </row>
    <row r="832" spans="4:14" x14ac:dyDescent="0.25">
      <c r="D832">
        <v>1831</v>
      </c>
      <c r="E832" s="4">
        <v>45838</v>
      </c>
      <c r="F832" t="s">
        <v>27</v>
      </c>
      <c r="G832" t="s">
        <v>29</v>
      </c>
      <c r="H832" t="s">
        <v>25</v>
      </c>
      <c r="I832" t="s">
        <v>34</v>
      </c>
      <c r="J832">
        <v>3</v>
      </c>
      <c r="K832" s="1">
        <v>30000</v>
      </c>
      <c r="L832" s="1">
        <f>Table1[[#This Row],[Unit Price]]*Table1[[#This Row],[Units]]</f>
        <v>90000</v>
      </c>
      <c r="M832" s="1">
        <v>20354</v>
      </c>
      <c r="N832" t="s">
        <v>26</v>
      </c>
    </row>
    <row r="833" spans="4:14" x14ac:dyDescent="0.25">
      <c r="D833">
        <v>1832</v>
      </c>
      <c r="E833" s="4">
        <v>45770</v>
      </c>
      <c r="F833" t="s">
        <v>20</v>
      </c>
      <c r="G833" t="s">
        <v>11</v>
      </c>
      <c r="H833" t="s">
        <v>12</v>
      </c>
      <c r="I833" t="s">
        <v>18</v>
      </c>
      <c r="J833">
        <v>4</v>
      </c>
      <c r="K833" s="1">
        <v>60000</v>
      </c>
      <c r="L833" s="1">
        <f>Table1[[#This Row],[Unit Price]]*Table1[[#This Row],[Units]]</f>
        <v>240000</v>
      </c>
      <c r="M833" s="1">
        <v>62064</v>
      </c>
      <c r="N833" t="s">
        <v>19</v>
      </c>
    </row>
    <row r="834" spans="4:14" x14ac:dyDescent="0.25">
      <c r="D834">
        <v>1833</v>
      </c>
      <c r="E834" s="4">
        <v>45681</v>
      </c>
      <c r="F834" t="s">
        <v>10</v>
      </c>
      <c r="G834" t="s">
        <v>24</v>
      </c>
      <c r="H834" t="s">
        <v>31</v>
      </c>
      <c r="I834" t="s">
        <v>13</v>
      </c>
      <c r="J834">
        <v>1</v>
      </c>
      <c r="K834" s="1">
        <v>800</v>
      </c>
      <c r="L834" s="1">
        <f>Table1[[#This Row],[Unit Price]]*Table1[[#This Row],[Units]]</f>
        <v>800</v>
      </c>
      <c r="M834" s="1">
        <v>170</v>
      </c>
      <c r="N834" t="s">
        <v>14</v>
      </c>
    </row>
    <row r="835" spans="4:14" x14ac:dyDescent="0.25">
      <c r="D835">
        <v>1834</v>
      </c>
      <c r="E835" s="4">
        <v>45725</v>
      </c>
      <c r="F835" t="s">
        <v>23</v>
      </c>
      <c r="G835" t="s">
        <v>16</v>
      </c>
      <c r="H835" t="s">
        <v>35</v>
      </c>
      <c r="I835" t="s">
        <v>22</v>
      </c>
      <c r="J835">
        <v>2</v>
      </c>
      <c r="K835" s="1">
        <v>15000</v>
      </c>
      <c r="L835" s="1">
        <f>Table1[[#This Row],[Unit Price]]*Table1[[#This Row],[Units]]</f>
        <v>30000</v>
      </c>
      <c r="M835" s="1">
        <v>6499</v>
      </c>
      <c r="N835" t="s">
        <v>14</v>
      </c>
    </row>
    <row r="836" spans="4:14" x14ac:dyDescent="0.25">
      <c r="D836">
        <v>1835</v>
      </c>
      <c r="E836" s="4">
        <v>45764</v>
      </c>
      <c r="F836" t="s">
        <v>20</v>
      </c>
      <c r="G836" t="s">
        <v>24</v>
      </c>
      <c r="H836" t="s">
        <v>33</v>
      </c>
      <c r="I836" t="s">
        <v>28</v>
      </c>
      <c r="J836">
        <v>9</v>
      </c>
      <c r="K836" s="1">
        <v>2000</v>
      </c>
      <c r="L836" s="1">
        <f>Table1[[#This Row],[Unit Price]]*Table1[[#This Row],[Units]]</f>
        <v>18000</v>
      </c>
      <c r="M836" s="1">
        <v>4873</v>
      </c>
      <c r="N836" t="s">
        <v>14</v>
      </c>
    </row>
    <row r="837" spans="4:14" x14ac:dyDescent="0.25">
      <c r="D837">
        <v>1836</v>
      </c>
      <c r="E837" s="4">
        <v>45787</v>
      </c>
      <c r="F837" t="s">
        <v>15</v>
      </c>
      <c r="G837" t="s">
        <v>11</v>
      </c>
      <c r="H837" t="s">
        <v>35</v>
      </c>
      <c r="I837" t="s">
        <v>13</v>
      </c>
      <c r="J837">
        <v>3</v>
      </c>
      <c r="K837" s="1">
        <v>800</v>
      </c>
      <c r="L837" s="1">
        <f>Table1[[#This Row],[Unit Price]]*Table1[[#This Row],[Units]]</f>
        <v>2400</v>
      </c>
      <c r="M837" s="1">
        <v>699</v>
      </c>
      <c r="N837" t="s">
        <v>14</v>
      </c>
    </row>
    <row r="838" spans="4:14" x14ac:dyDescent="0.25">
      <c r="D838">
        <v>1837</v>
      </c>
      <c r="E838" s="4">
        <v>45711</v>
      </c>
      <c r="F838" t="s">
        <v>32</v>
      </c>
      <c r="G838" t="s">
        <v>29</v>
      </c>
      <c r="H838" t="s">
        <v>21</v>
      </c>
      <c r="I838" t="s">
        <v>28</v>
      </c>
      <c r="J838">
        <v>9</v>
      </c>
      <c r="K838" s="1">
        <v>2000</v>
      </c>
      <c r="L838" s="1">
        <f>Table1[[#This Row],[Unit Price]]*Table1[[#This Row],[Units]]</f>
        <v>18000</v>
      </c>
      <c r="M838" s="1">
        <v>3697</v>
      </c>
      <c r="N838" t="s">
        <v>14</v>
      </c>
    </row>
    <row r="839" spans="4:14" x14ac:dyDescent="0.25">
      <c r="D839">
        <v>1838</v>
      </c>
      <c r="E839" s="4">
        <v>45691</v>
      </c>
      <c r="F839" t="s">
        <v>32</v>
      </c>
      <c r="G839" t="s">
        <v>16</v>
      </c>
      <c r="H839" t="s">
        <v>31</v>
      </c>
      <c r="I839" t="s">
        <v>34</v>
      </c>
      <c r="J839">
        <v>10</v>
      </c>
      <c r="K839" s="1">
        <v>30000</v>
      </c>
      <c r="L839" s="1">
        <f>Table1[[#This Row],[Unit Price]]*Table1[[#This Row],[Units]]</f>
        <v>300000</v>
      </c>
      <c r="M839" s="1">
        <v>76124</v>
      </c>
      <c r="N839" t="s">
        <v>19</v>
      </c>
    </row>
    <row r="840" spans="4:14" x14ac:dyDescent="0.25">
      <c r="D840">
        <v>1839</v>
      </c>
      <c r="E840" s="4">
        <v>45704</v>
      </c>
      <c r="F840" t="s">
        <v>32</v>
      </c>
      <c r="G840" t="s">
        <v>29</v>
      </c>
      <c r="H840" t="s">
        <v>25</v>
      </c>
      <c r="I840" t="s">
        <v>22</v>
      </c>
      <c r="J840">
        <v>7</v>
      </c>
      <c r="K840" s="1">
        <v>15000</v>
      </c>
      <c r="L840" s="1">
        <f>Table1[[#This Row],[Unit Price]]*Table1[[#This Row],[Units]]</f>
        <v>105000</v>
      </c>
      <c r="M840" s="1">
        <v>18300</v>
      </c>
      <c r="N840" t="s">
        <v>26</v>
      </c>
    </row>
    <row r="841" spans="4:14" x14ac:dyDescent="0.25">
      <c r="D841">
        <v>1840</v>
      </c>
      <c r="E841" s="4">
        <v>45775</v>
      </c>
      <c r="F841" t="s">
        <v>20</v>
      </c>
      <c r="G841" t="s">
        <v>24</v>
      </c>
      <c r="H841" t="s">
        <v>25</v>
      </c>
      <c r="I841" t="s">
        <v>22</v>
      </c>
      <c r="J841">
        <v>5</v>
      </c>
      <c r="K841" s="1">
        <v>15000</v>
      </c>
      <c r="L841" s="1">
        <f>Table1[[#This Row],[Unit Price]]*Table1[[#This Row],[Units]]</f>
        <v>75000</v>
      </c>
      <c r="M841" s="1">
        <v>11745</v>
      </c>
      <c r="N841" t="s">
        <v>26</v>
      </c>
    </row>
    <row r="842" spans="4:14" x14ac:dyDescent="0.25">
      <c r="D842">
        <v>1841</v>
      </c>
      <c r="E842" s="4">
        <v>45765</v>
      </c>
      <c r="F842" t="s">
        <v>20</v>
      </c>
      <c r="G842" t="s">
        <v>16</v>
      </c>
      <c r="H842" t="s">
        <v>35</v>
      </c>
      <c r="I842" t="s">
        <v>22</v>
      </c>
      <c r="J842">
        <v>6</v>
      </c>
      <c r="K842" s="1">
        <v>15000</v>
      </c>
      <c r="L842" s="1">
        <f>Table1[[#This Row],[Unit Price]]*Table1[[#This Row],[Units]]</f>
        <v>90000</v>
      </c>
      <c r="M842" s="1">
        <v>14521</v>
      </c>
      <c r="N842" t="s">
        <v>26</v>
      </c>
    </row>
    <row r="843" spans="4:14" x14ac:dyDescent="0.25">
      <c r="D843">
        <v>1842</v>
      </c>
      <c r="E843" s="4">
        <v>45703</v>
      </c>
      <c r="F843" t="s">
        <v>32</v>
      </c>
      <c r="G843" t="s">
        <v>11</v>
      </c>
      <c r="H843" t="s">
        <v>12</v>
      </c>
      <c r="I843" t="s">
        <v>22</v>
      </c>
      <c r="J843">
        <v>9</v>
      </c>
      <c r="K843" s="1">
        <v>15000</v>
      </c>
      <c r="L843" s="1">
        <f>Table1[[#This Row],[Unit Price]]*Table1[[#This Row],[Units]]</f>
        <v>135000</v>
      </c>
      <c r="M843" s="1">
        <v>29976</v>
      </c>
      <c r="N843" t="s">
        <v>26</v>
      </c>
    </row>
    <row r="844" spans="4:14" x14ac:dyDescent="0.25">
      <c r="D844">
        <v>1843</v>
      </c>
      <c r="E844" s="4">
        <v>45823</v>
      </c>
      <c r="F844" t="s">
        <v>27</v>
      </c>
      <c r="G844" t="s">
        <v>16</v>
      </c>
      <c r="H844" t="s">
        <v>33</v>
      </c>
      <c r="I844" t="s">
        <v>18</v>
      </c>
      <c r="J844">
        <v>9</v>
      </c>
      <c r="K844" s="1">
        <v>60000</v>
      </c>
      <c r="L844" s="1">
        <f>Table1[[#This Row],[Unit Price]]*Table1[[#This Row],[Units]]</f>
        <v>540000</v>
      </c>
      <c r="M844" s="1">
        <v>141020</v>
      </c>
      <c r="N844" t="s">
        <v>19</v>
      </c>
    </row>
    <row r="845" spans="4:14" x14ac:dyDescent="0.25">
      <c r="D845">
        <v>1844</v>
      </c>
      <c r="E845" s="4">
        <v>45737</v>
      </c>
      <c r="F845" t="s">
        <v>23</v>
      </c>
      <c r="G845" t="s">
        <v>11</v>
      </c>
      <c r="H845" t="s">
        <v>35</v>
      </c>
      <c r="I845" t="s">
        <v>18</v>
      </c>
      <c r="J845">
        <v>3</v>
      </c>
      <c r="K845" s="1">
        <v>60000</v>
      </c>
      <c r="L845" s="1">
        <f>Table1[[#This Row],[Unit Price]]*Table1[[#This Row],[Units]]</f>
        <v>180000</v>
      </c>
      <c r="M845" s="1">
        <v>54848</v>
      </c>
      <c r="N845" t="s">
        <v>26</v>
      </c>
    </row>
    <row r="846" spans="4:14" x14ac:dyDescent="0.25">
      <c r="D846">
        <v>1845</v>
      </c>
      <c r="E846" s="4">
        <v>45755</v>
      </c>
      <c r="F846" t="s">
        <v>20</v>
      </c>
      <c r="G846" t="s">
        <v>11</v>
      </c>
      <c r="H846" t="s">
        <v>30</v>
      </c>
      <c r="I846" t="s">
        <v>28</v>
      </c>
      <c r="J846">
        <v>1</v>
      </c>
      <c r="K846" s="1">
        <v>2000</v>
      </c>
      <c r="L846" s="1">
        <f>Table1[[#This Row],[Unit Price]]*Table1[[#This Row],[Units]]</f>
        <v>2000</v>
      </c>
      <c r="M846" s="1">
        <v>687</v>
      </c>
      <c r="N846" t="s">
        <v>14</v>
      </c>
    </row>
    <row r="847" spans="4:14" x14ac:dyDescent="0.25">
      <c r="D847">
        <v>1846</v>
      </c>
      <c r="E847" s="4">
        <v>45776</v>
      </c>
      <c r="F847" t="s">
        <v>20</v>
      </c>
      <c r="G847" t="s">
        <v>29</v>
      </c>
      <c r="H847" t="s">
        <v>31</v>
      </c>
      <c r="I847" t="s">
        <v>22</v>
      </c>
      <c r="J847">
        <v>8</v>
      </c>
      <c r="K847" s="1">
        <v>15000</v>
      </c>
      <c r="L847" s="1">
        <f>Table1[[#This Row],[Unit Price]]*Table1[[#This Row],[Units]]</f>
        <v>120000</v>
      </c>
      <c r="M847" s="1">
        <v>18295</v>
      </c>
      <c r="N847" t="s">
        <v>26</v>
      </c>
    </row>
    <row r="848" spans="4:14" x14ac:dyDescent="0.25">
      <c r="D848">
        <v>1847</v>
      </c>
      <c r="E848" s="4">
        <v>45699</v>
      </c>
      <c r="F848" t="s">
        <v>32</v>
      </c>
      <c r="G848" t="s">
        <v>11</v>
      </c>
      <c r="H848" t="s">
        <v>25</v>
      </c>
      <c r="I848" t="s">
        <v>18</v>
      </c>
      <c r="J848">
        <v>3</v>
      </c>
      <c r="K848" s="1">
        <v>60000</v>
      </c>
      <c r="L848" s="1">
        <f>Table1[[#This Row],[Unit Price]]*Table1[[#This Row],[Units]]</f>
        <v>180000</v>
      </c>
      <c r="M848" s="1">
        <v>35684</v>
      </c>
      <c r="N848" t="s">
        <v>26</v>
      </c>
    </row>
    <row r="849" spans="4:14" x14ac:dyDescent="0.25">
      <c r="D849">
        <v>1848</v>
      </c>
      <c r="E849" s="4">
        <v>45678</v>
      </c>
      <c r="F849" t="s">
        <v>10</v>
      </c>
      <c r="G849" t="s">
        <v>11</v>
      </c>
      <c r="H849" t="s">
        <v>30</v>
      </c>
      <c r="I849" t="s">
        <v>22</v>
      </c>
      <c r="J849">
        <v>5</v>
      </c>
      <c r="K849" s="1">
        <v>15000</v>
      </c>
      <c r="L849" s="1">
        <f>Table1[[#This Row],[Unit Price]]*Table1[[#This Row],[Units]]</f>
        <v>75000</v>
      </c>
      <c r="M849" s="1">
        <v>25284</v>
      </c>
      <c r="N849" t="s">
        <v>26</v>
      </c>
    </row>
    <row r="850" spans="4:14" x14ac:dyDescent="0.25">
      <c r="D850">
        <v>1849</v>
      </c>
      <c r="E850" s="4">
        <v>45659</v>
      </c>
      <c r="F850" t="s">
        <v>10</v>
      </c>
      <c r="G850" t="s">
        <v>24</v>
      </c>
      <c r="H850" t="s">
        <v>21</v>
      </c>
      <c r="I850" t="s">
        <v>22</v>
      </c>
      <c r="J850">
        <v>2</v>
      </c>
      <c r="K850" s="1">
        <v>15000</v>
      </c>
      <c r="L850" s="1">
        <f>Table1[[#This Row],[Unit Price]]*Table1[[#This Row],[Units]]</f>
        <v>30000</v>
      </c>
      <c r="M850" s="1">
        <v>4685</v>
      </c>
      <c r="N850" t="s">
        <v>14</v>
      </c>
    </row>
    <row r="851" spans="4:14" x14ac:dyDescent="0.25">
      <c r="D851">
        <v>1850</v>
      </c>
      <c r="E851" s="4">
        <v>45832</v>
      </c>
      <c r="F851" t="s">
        <v>27</v>
      </c>
      <c r="G851" t="s">
        <v>11</v>
      </c>
      <c r="H851" t="s">
        <v>25</v>
      </c>
      <c r="I851" t="s">
        <v>34</v>
      </c>
      <c r="J851">
        <v>9</v>
      </c>
      <c r="K851" s="1">
        <v>30000</v>
      </c>
      <c r="L851" s="1">
        <f>Table1[[#This Row],[Unit Price]]*Table1[[#This Row],[Units]]</f>
        <v>270000</v>
      </c>
      <c r="M851" s="1">
        <v>55336</v>
      </c>
      <c r="N851" t="s">
        <v>19</v>
      </c>
    </row>
    <row r="852" spans="4:14" x14ac:dyDescent="0.25">
      <c r="D852">
        <v>1851</v>
      </c>
      <c r="E852" s="4">
        <v>45741</v>
      </c>
      <c r="F852" t="s">
        <v>23</v>
      </c>
      <c r="G852" t="s">
        <v>16</v>
      </c>
      <c r="H852" t="s">
        <v>17</v>
      </c>
      <c r="I852" t="s">
        <v>28</v>
      </c>
      <c r="J852">
        <v>4</v>
      </c>
      <c r="K852" s="1">
        <v>2000</v>
      </c>
      <c r="L852" s="1">
        <f>Table1[[#This Row],[Unit Price]]*Table1[[#This Row],[Units]]</f>
        <v>8000</v>
      </c>
      <c r="M852" s="1">
        <v>1718</v>
      </c>
      <c r="N852" t="s">
        <v>14</v>
      </c>
    </row>
    <row r="853" spans="4:14" x14ac:dyDescent="0.25">
      <c r="D853">
        <v>1852</v>
      </c>
      <c r="E853" s="4">
        <v>45790</v>
      </c>
      <c r="F853" t="s">
        <v>15</v>
      </c>
      <c r="G853" t="s">
        <v>11</v>
      </c>
      <c r="H853" t="s">
        <v>12</v>
      </c>
      <c r="I853" t="s">
        <v>18</v>
      </c>
      <c r="J853">
        <v>10</v>
      </c>
      <c r="K853" s="1">
        <v>60000</v>
      </c>
      <c r="L853" s="1">
        <f>Table1[[#This Row],[Unit Price]]*Table1[[#This Row],[Units]]</f>
        <v>600000</v>
      </c>
      <c r="M853" s="1">
        <v>175483</v>
      </c>
      <c r="N853" t="s">
        <v>19</v>
      </c>
    </row>
    <row r="854" spans="4:14" x14ac:dyDescent="0.25">
      <c r="D854">
        <v>1853</v>
      </c>
      <c r="E854" s="4">
        <v>45688</v>
      </c>
      <c r="F854" t="s">
        <v>10</v>
      </c>
      <c r="G854" t="s">
        <v>24</v>
      </c>
      <c r="H854" t="s">
        <v>12</v>
      </c>
      <c r="I854" t="s">
        <v>34</v>
      </c>
      <c r="J854">
        <v>10</v>
      </c>
      <c r="K854" s="1">
        <v>30000</v>
      </c>
      <c r="L854" s="1">
        <f>Table1[[#This Row],[Unit Price]]*Table1[[#This Row],[Units]]</f>
        <v>300000</v>
      </c>
      <c r="M854" s="1">
        <v>88322</v>
      </c>
      <c r="N854" t="s">
        <v>19</v>
      </c>
    </row>
    <row r="855" spans="4:14" x14ac:dyDescent="0.25">
      <c r="D855">
        <v>1854</v>
      </c>
      <c r="E855" s="4">
        <v>45724</v>
      </c>
      <c r="F855" t="s">
        <v>23</v>
      </c>
      <c r="G855" t="s">
        <v>16</v>
      </c>
      <c r="H855" t="s">
        <v>31</v>
      </c>
      <c r="I855" t="s">
        <v>34</v>
      </c>
      <c r="J855">
        <v>4</v>
      </c>
      <c r="K855" s="1">
        <v>30000</v>
      </c>
      <c r="L855" s="1">
        <f>Table1[[#This Row],[Unit Price]]*Table1[[#This Row],[Units]]</f>
        <v>120000</v>
      </c>
      <c r="M855" s="1">
        <v>24306</v>
      </c>
      <c r="N855" t="s">
        <v>26</v>
      </c>
    </row>
    <row r="856" spans="4:14" x14ac:dyDescent="0.25">
      <c r="D856">
        <v>1855</v>
      </c>
      <c r="E856" s="4">
        <v>45778</v>
      </c>
      <c r="F856" t="s">
        <v>15</v>
      </c>
      <c r="G856" t="s">
        <v>29</v>
      </c>
      <c r="H856" t="s">
        <v>12</v>
      </c>
      <c r="I856" t="s">
        <v>13</v>
      </c>
      <c r="J856">
        <v>2</v>
      </c>
      <c r="K856" s="1">
        <v>800</v>
      </c>
      <c r="L856" s="1">
        <f>Table1[[#This Row],[Unit Price]]*Table1[[#This Row],[Units]]</f>
        <v>1600</v>
      </c>
      <c r="M856" s="1">
        <v>313</v>
      </c>
      <c r="N856" t="s">
        <v>14</v>
      </c>
    </row>
    <row r="857" spans="4:14" x14ac:dyDescent="0.25">
      <c r="D857">
        <v>1856</v>
      </c>
      <c r="E857" s="4">
        <v>45725</v>
      </c>
      <c r="F857" t="s">
        <v>23</v>
      </c>
      <c r="G857" t="s">
        <v>29</v>
      </c>
      <c r="H857" t="s">
        <v>17</v>
      </c>
      <c r="I857" t="s">
        <v>22</v>
      </c>
      <c r="J857">
        <v>8</v>
      </c>
      <c r="K857" s="1">
        <v>15000</v>
      </c>
      <c r="L857" s="1">
        <f>Table1[[#This Row],[Unit Price]]*Table1[[#This Row],[Units]]</f>
        <v>120000</v>
      </c>
      <c r="M857" s="1">
        <v>34304</v>
      </c>
      <c r="N857" t="s">
        <v>26</v>
      </c>
    </row>
    <row r="858" spans="4:14" x14ac:dyDescent="0.25">
      <c r="D858">
        <v>1857</v>
      </c>
      <c r="E858" s="4">
        <v>45827</v>
      </c>
      <c r="F858" t="s">
        <v>27</v>
      </c>
      <c r="G858" t="s">
        <v>11</v>
      </c>
      <c r="H858" t="s">
        <v>30</v>
      </c>
      <c r="I858" t="s">
        <v>28</v>
      </c>
      <c r="J858">
        <v>6</v>
      </c>
      <c r="K858" s="1">
        <v>2000</v>
      </c>
      <c r="L858" s="1">
        <f>Table1[[#This Row],[Unit Price]]*Table1[[#This Row],[Units]]</f>
        <v>12000</v>
      </c>
      <c r="M858" s="1">
        <v>2972</v>
      </c>
      <c r="N858" t="s">
        <v>14</v>
      </c>
    </row>
    <row r="859" spans="4:14" x14ac:dyDescent="0.25">
      <c r="D859">
        <v>1858</v>
      </c>
      <c r="E859" s="4">
        <v>45678</v>
      </c>
      <c r="F859" t="s">
        <v>10</v>
      </c>
      <c r="G859" t="s">
        <v>16</v>
      </c>
      <c r="H859" t="s">
        <v>31</v>
      </c>
      <c r="I859" t="s">
        <v>22</v>
      </c>
      <c r="J859">
        <v>2</v>
      </c>
      <c r="K859" s="1">
        <v>15000</v>
      </c>
      <c r="L859" s="1">
        <f>Table1[[#This Row],[Unit Price]]*Table1[[#This Row],[Units]]</f>
        <v>30000</v>
      </c>
      <c r="M859" s="1">
        <v>6426</v>
      </c>
      <c r="N859" t="s">
        <v>14</v>
      </c>
    </row>
    <row r="860" spans="4:14" x14ac:dyDescent="0.25">
      <c r="D860">
        <v>1859</v>
      </c>
      <c r="E860" s="4">
        <v>45726</v>
      </c>
      <c r="F860" t="s">
        <v>23</v>
      </c>
      <c r="G860" t="s">
        <v>16</v>
      </c>
      <c r="H860" t="s">
        <v>33</v>
      </c>
      <c r="I860" t="s">
        <v>22</v>
      </c>
      <c r="J860">
        <v>7</v>
      </c>
      <c r="K860" s="1">
        <v>15000</v>
      </c>
      <c r="L860" s="1">
        <f>Table1[[#This Row],[Unit Price]]*Table1[[#This Row],[Units]]</f>
        <v>105000</v>
      </c>
      <c r="M860" s="1">
        <v>18311</v>
      </c>
      <c r="N860" t="s">
        <v>26</v>
      </c>
    </row>
    <row r="861" spans="4:14" x14ac:dyDescent="0.25">
      <c r="D861">
        <v>1860</v>
      </c>
      <c r="E861" s="4">
        <v>45709</v>
      </c>
      <c r="F861" t="s">
        <v>32</v>
      </c>
      <c r="G861" t="s">
        <v>11</v>
      </c>
      <c r="H861" t="s">
        <v>30</v>
      </c>
      <c r="I861" t="s">
        <v>13</v>
      </c>
      <c r="J861">
        <v>9</v>
      </c>
      <c r="K861" s="1">
        <v>800</v>
      </c>
      <c r="L861" s="1">
        <f>Table1[[#This Row],[Unit Price]]*Table1[[#This Row],[Units]]</f>
        <v>7200</v>
      </c>
      <c r="M861" s="1">
        <v>2414</v>
      </c>
      <c r="N861" t="s">
        <v>14</v>
      </c>
    </row>
    <row r="862" spans="4:14" x14ac:dyDescent="0.25">
      <c r="D862">
        <v>1861</v>
      </c>
      <c r="E862" s="4">
        <v>45691</v>
      </c>
      <c r="F862" t="s">
        <v>32</v>
      </c>
      <c r="G862" t="s">
        <v>11</v>
      </c>
      <c r="H862" t="s">
        <v>35</v>
      </c>
      <c r="I862" t="s">
        <v>13</v>
      </c>
      <c r="J862">
        <v>10</v>
      </c>
      <c r="K862" s="1">
        <v>800</v>
      </c>
      <c r="L862" s="1">
        <f>Table1[[#This Row],[Unit Price]]*Table1[[#This Row],[Units]]</f>
        <v>8000</v>
      </c>
      <c r="M862" s="1">
        <v>2264</v>
      </c>
      <c r="N862" t="s">
        <v>14</v>
      </c>
    </row>
    <row r="863" spans="4:14" x14ac:dyDescent="0.25">
      <c r="D863">
        <v>1862</v>
      </c>
      <c r="E863" s="4">
        <v>45685</v>
      </c>
      <c r="F863" t="s">
        <v>10</v>
      </c>
      <c r="G863" t="s">
        <v>24</v>
      </c>
      <c r="H863" t="s">
        <v>30</v>
      </c>
      <c r="I863" t="s">
        <v>18</v>
      </c>
      <c r="J863">
        <v>9</v>
      </c>
      <c r="K863" s="1">
        <v>60000</v>
      </c>
      <c r="L863" s="1">
        <f>Table1[[#This Row],[Unit Price]]*Table1[[#This Row],[Units]]</f>
        <v>540000</v>
      </c>
      <c r="M863" s="1">
        <v>86708</v>
      </c>
      <c r="N863" t="s">
        <v>19</v>
      </c>
    </row>
    <row r="864" spans="4:14" x14ac:dyDescent="0.25">
      <c r="D864">
        <v>1863</v>
      </c>
      <c r="E864" s="4">
        <v>45748</v>
      </c>
      <c r="F864" t="s">
        <v>20</v>
      </c>
      <c r="G864" t="s">
        <v>24</v>
      </c>
      <c r="H864" t="s">
        <v>35</v>
      </c>
      <c r="I864" t="s">
        <v>22</v>
      </c>
      <c r="J864">
        <v>6</v>
      </c>
      <c r="K864" s="1">
        <v>15000</v>
      </c>
      <c r="L864" s="1">
        <f>Table1[[#This Row],[Unit Price]]*Table1[[#This Row],[Units]]</f>
        <v>90000</v>
      </c>
      <c r="M864" s="1">
        <v>21392</v>
      </c>
      <c r="N864" t="s">
        <v>26</v>
      </c>
    </row>
    <row r="865" spans="4:14" x14ac:dyDescent="0.25">
      <c r="D865">
        <v>1864</v>
      </c>
      <c r="E865" s="4">
        <v>45663</v>
      </c>
      <c r="F865" t="s">
        <v>10</v>
      </c>
      <c r="G865" t="s">
        <v>24</v>
      </c>
      <c r="H865" t="s">
        <v>17</v>
      </c>
      <c r="I865" t="s">
        <v>22</v>
      </c>
      <c r="J865">
        <v>8</v>
      </c>
      <c r="K865" s="1">
        <v>15000</v>
      </c>
      <c r="L865" s="1">
        <f>Table1[[#This Row],[Unit Price]]*Table1[[#This Row],[Units]]</f>
        <v>120000</v>
      </c>
      <c r="M865" s="1">
        <v>18600</v>
      </c>
      <c r="N865" t="s">
        <v>26</v>
      </c>
    </row>
    <row r="866" spans="4:14" x14ac:dyDescent="0.25">
      <c r="D866">
        <v>1865</v>
      </c>
      <c r="E866" s="4">
        <v>45678</v>
      </c>
      <c r="F866" t="s">
        <v>10</v>
      </c>
      <c r="G866" t="s">
        <v>11</v>
      </c>
      <c r="H866" t="s">
        <v>30</v>
      </c>
      <c r="I866" t="s">
        <v>34</v>
      </c>
      <c r="J866">
        <v>6</v>
      </c>
      <c r="K866" s="1">
        <v>30000</v>
      </c>
      <c r="L866" s="1">
        <f>Table1[[#This Row],[Unit Price]]*Table1[[#This Row],[Units]]</f>
        <v>180000</v>
      </c>
      <c r="M866" s="1">
        <v>36944</v>
      </c>
      <c r="N866" t="s">
        <v>26</v>
      </c>
    </row>
    <row r="867" spans="4:14" x14ac:dyDescent="0.25">
      <c r="D867">
        <v>1866</v>
      </c>
      <c r="E867" s="4">
        <v>45823</v>
      </c>
      <c r="F867" t="s">
        <v>27</v>
      </c>
      <c r="G867" t="s">
        <v>29</v>
      </c>
      <c r="H867" t="s">
        <v>17</v>
      </c>
      <c r="I867" t="s">
        <v>18</v>
      </c>
      <c r="J867">
        <v>8</v>
      </c>
      <c r="K867" s="1">
        <v>60000</v>
      </c>
      <c r="L867" s="1">
        <f>Table1[[#This Row],[Unit Price]]*Table1[[#This Row],[Units]]</f>
        <v>480000</v>
      </c>
      <c r="M867" s="1">
        <v>156003</v>
      </c>
      <c r="N867" t="s">
        <v>19</v>
      </c>
    </row>
    <row r="868" spans="4:14" x14ac:dyDescent="0.25">
      <c r="D868">
        <v>1867</v>
      </c>
      <c r="E868" s="4">
        <v>45779</v>
      </c>
      <c r="F868" t="s">
        <v>15</v>
      </c>
      <c r="G868" t="s">
        <v>29</v>
      </c>
      <c r="H868" t="s">
        <v>12</v>
      </c>
      <c r="I868" t="s">
        <v>18</v>
      </c>
      <c r="J868">
        <v>2</v>
      </c>
      <c r="K868" s="1">
        <v>60000</v>
      </c>
      <c r="L868" s="1">
        <f>Table1[[#This Row],[Unit Price]]*Table1[[#This Row],[Units]]</f>
        <v>120000</v>
      </c>
      <c r="M868" s="1">
        <v>25426</v>
      </c>
      <c r="N868" t="s">
        <v>26</v>
      </c>
    </row>
    <row r="869" spans="4:14" x14ac:dyDescent="0.25">
      <c r="D869">
        <v>1868</v>
      </c>
      <c r="E869" s="4">
        <v>45689</v>
      </c>
      <c r="F869" t="s">
        <v>32</v>
      </c>
      <c r="G869" t="s">
        <v>29</v>
      </c>
      <c r="H869" t="s">
        <v>33</v>
      </c>
      <c r="I869" t="s">
        <v>34</v>
      </c>
      <c r="J869">
        <v>7</v>
      </c>
      <c r="K869" s="1">
        <v>30000</v>
      </c>
      <c r="L869" s="1">
        <f>Table1[[#This Row],[Unit Price]]*Table1[[#This Row],[Units]]</f>
        <v>210000</v>
      </c>
      <c r="M869" s="1">
        <v>47649</v>
      </c>
      <c r="N869" t="s">
        <v>19</v>
      </c>
    </row>
    <row r="870" spans="4:14" x14ac:dyDescent="0.25">
      <c r="D870">
        <v>1869</v>
      </c>
      <c r="E870" s="4">
        <v>45687</v>
      </c>
      <c r="F870" t="s">
        <v>10</v>
      </c>
      <c r="G870" t="s">
        <v>24</v>
      </c>
      <c r="H870" t="s">
        <v>25</v>
      </c>
      <c r="I870" t="s">
        <v>22</v>
      </c>
      <c r="J870">
        <v>3</v>
      </c>
      <c r="K870" s="1">
        <v>15000</v>
      </c>
      <c r="L870" s="1">
        <f>Table1[[#This Row],[Unit Price]]*Table1[[#This Row],[Units]]</f>
        <v>45000</v>
      </c>
      <c r="M870" s="1">
        <v>11768</v>
      </c>
      <c r="N870" t="s">
        <v>14</v>
      </c>
    </row>
    <row r="871" spans="4:14" x14ac:dyDescent="0.25">
      <c r="D871">
        <v>1870</v>
      </c>
      <c r="E871" s="4">
        <v>45702</v>
      </c>
      <c r="F871" t="s">
        <v>32</v>
      </c>
      <c r="G871" t="s">
        <v>16</v>
      </c>
      <c r="H871" t="s">
        <v>25</v>
      </c>
      <c r="I871" t="s">
        <v>28</v>
      </c>
      <c r="J871">
        <v>1</v>
      </c>
      <c r="K871" s="1">
        <v>2000</v>
      </c>
      <c r="L871" s="1">
        <f>Table1[[#This Row],[Unit Price]]*Table1[[#This Row],[Units]]</f>
        <v>2000</v>
      </c>
      <c r="M871" s="1">
        <v>538</v>
      </c>
      <c r="N871" t="s">
        <v>14</v>
      </c>
    </row>
    <row r="872" spans="4:14" x14ac:dyDescent="0.25">
      <c r="D872">
        <v>1871</v>
      </c>
      <c r="E872" s="4">
        <v>45714</v>
      </c>
      <c r="F872" t="s">
        <v>32</v>
      </c>
      <c r="G872" t="s">
        <v>11</v>
      </c>
      <c r="H872" t="s">
        <v>31</v>
      </c>
      <c r="I872" t="s">
        <v>13</v>
      </c>
      <c r="J872">
        <v>1</v>
      </c>
      <c r="K872" s="1">
        <v>800</v>
      </c>
      <c r="L872" s="1">
        <f>Table1[[#This Row],[Unit Price]]*Table1[[#This Row],[Units]]</f>
        <v>800</v>
      </c>
      <c r="M872" s="1">
        <v>213</v>
      </c>
      <c r="N872" t="s">
        <v>14</v>
      </c>
    </row>
    <row r="873" spans="4:14" x14ac:dyDescent="0.25">
      <c r="D873">
        <v>1872</v>
      </c>
      <c r="E873" s="4">
        <v>45768</v>
      </c>
      <c r="F873" t="s">
        <v>20</v>
      </c>
      <c r="G873" t="s">
        <v>16</v>
      </c>
      <c r="H873" t="s">
        <v>30</v>
      </c>
      <c r="I873" t="s">
        <v>22</v>
      </c>
      <c r="J873">
        <v>10</v>
      </c>
      <c r="K873" s="1">
        <v>15000</v>
      </c>
      <c r="L873" s="1">
        <f>Table1[[#This Row],[Unit Price]]*Table1[[#This Row],[Units]]</f>
        <v>150000</v>
      </c>
      <c r="M873" s="1">
        <v>31462</v>
      </c>
      <c r="N873" t="s">
        <v>26</v>
      </c>
    </row>
    <row r="874" spans="4:14" x14ac:dyDescent="0.25">
      <c r="D874">
        <v>1873</v>
      </c>
      <c r="E874" s="4">
        <v>45723</v>
      </c>
      <c r="F874" t="s">
        <v>23</v>
      </c>
      <c r="G874" t="s">
        <v>29</v>
      </c>
      <c r="H874" t="s">
        <v>12</v>
      </c>
      <c r="I874" t="s">
        <v>28</v>
      </c>
      <c r="J874">
        <v>1</v>
      </c>
      <c r="K874" s="1">
        <v>2000</v>
      </c>
      <c r="L874" s="1">
        <f>Table1[[#This Row],[Unit Price]]*Table1[[#This Row],[Units]]</f>
        <v>2000</v>
      </c>
      <c r="M874" s="1">
        <v>634</v>
      </c>
      <c r="N874" t="s">
        <v>14</v>
      </c>
    </row>
    <row r="875" spans="4:14" x14ac:dyDescent="0.25">
      <c r="D875">
        <v>1874</v>
      </c>
      <c r="E875" s="4">
        <v>45773</v>
      </c>
      <c r="F875" t="s">
        <v>20</v>
      </c>
      <c r="G875" t="s">
        <v>24</v>
      </c>
      <c r="H875" t="s">
        <v>21</v>
      </c>
      <c r="I875" t="s">
        <v>28</v>
      </c>
      <c r="J875">
        <v>5</v>
      </c>
      <c r="K875" s="1">
        <v>2000</v>
      </c>
      <c r="L875" s="1">
        <f>Table1[[#This Row],[Unit Price]]*Table1[[#This Row],[Units]]</f>
        <v>10000</v>
      </c>
      <c r="M875" s="1">
        <v>2987</v>
      </c>
      <c r="N875" t="s">
        <v>14</v>
      </c>
    </row>
    <row r="876" spans="4:14" x14ac:dyDescent="0.25">
      <c r="D876">
        <v>1875</v>
      </c>
      <c r="E876" s="4">
        <v>45825</v>
      </c>
      <c r="F876" t="s">
        <v>27</v>
      </c>
      <c r="G876" t="s">
        <v>29</v>
      </c>
      <c r="H876" t="s">
        <v>33</v>
      </c>
      <c r="I876" t="s">
        <v>18</v>
      </c>
      <c r="J876">
        <v>10</v>
      </c>
      <c r="K876" s="1">
        <v>60000</v>
      </c>
      <c r="L876" s="1">
        <f>Table1[[#This Row],[Unit Price]]*Table1[[#This Row],[Units]]</f>
        <v>600000</v>
      </c>
      <c r="M876" s="1">
        <v>92530</v>
      </c>
      <c r="N876" t="s">
        <v>19</v>
      </c>
    </row>
    <row r="877" spans="4:14" x14ac:dyDescent="0.25">
      <c r="D877">
        <v>1876</v>
      </c>
      <c r="E877" s="4">
        <v>45742</v>
      </c>
      <c r="F877" t="s">
        <v>23</v>
      </c>
      <c r="G877" t="s">
        <v>16</v>
      </c>
      <c r="H877" t="s">
        <v>17</v>
      </c>
      <c r="I877" t="s">
        <v>18</v>
      </c>
      <c r="J877">
        <v>10</v>
      </c>
      <c r="K877" s="1">
        <v>60000</v>
      </c>
      <c r="L877" s="1">
        <f>Table1[[#This Row],[Unit Price]]*Table1[[#This Row],[Units]]</f>
        <v>600000</v>
      </c>
      <c r="M877" s="1">
        <v>160211</v>
      </c>
      <c r="N877" t="s">
        <v>19</v>
      </c>
    </row>
    <row r="878" spans="4:14" x14ac:dyDescent="0.25">
      <c r="D878">
        <v>1877</v>
      </c>
      <c r="E878" s="4">
        <v>45808</v>
      </c>
      <c r="F878" t="s">
        <v>15</v>
      </c>
      <c r="G878" t="s">
        <v>16</v>
      </c>
      <c r="H878" t="s">
        <v>17</v>
      </c>
      <c r="I878" t="s">
        <v>34</v>
      </c>
      <c r="J878">
        <v>9</v>
      </c>
      <c r="K878" s="1">
        <v>30000</v>
      </c>
      <c r="L878" s="1">
        <f>Table1[[#This Row],[Unit Price]]*Table1[[#This Row],[Units]]</f>
        <v>270000</v>
      </c>
      <c r="M878" s="1">
        <v>94249</v>
      </c>
      <c r="N878" t="s">
        <v>19</v>
      </c>
    </row>
    <row r="879" spans="4:14" x14ac:dyDescent="0.25">
      <c r="D879">
        <v>1878</v>
      </c>
      <c r="E879" s="4">
        <v>45807</v>
      </c>
      <c r="F879" t="s">
        <v>15</v>
      </c>
      <c r="G879" t="s">
        <v>29</v>
      </c>
      <c r="H879" t="s">
        <v>12</v>
      </c>
      <c r="I879" t="s">
        <v>22</v>
      </c>
      <c r="J879">
        <v>8</v>
      </c>
      <c r="K879" s="1">
        <v>15000</v>
      </c>
      <c r="L879" s="1">
        <f>Table1[[#This Row],[Unit Price]]*Table1[[#This Row],[Units]]</f>
        <v>120000</v>
      </c>
      <c r="M879" s="1">
        <v>28274</v>
      </c>
      <c r="N879" t="s">
        <v>26</v>
      </c>
    </row>
    <row r="880" spans="4:14" x14ac:dyDescent="0.25">
      <c r="D880">
        <v>1879</v>
      </c>
      <c r="E880" s="4">
        <v>45748</v>
      </c>
      <c r="F880" t="s">
        <v>20</v>
      </c>
      <c r="G880" t="s">
        <v>11</v>
      </c>
      <c r="H880" t="s">
        <v>30</v>
      </c>
      <c r="I880" t="s">
        <v>13</v>
      </c>
      <c r="J880">
        <v>6</v>
      </c>
      <c r="K880" s="1">
        <v>800</v>
      </c>
      <c r="L880" s="1">
        <f>Table1[[#This Row],[Unit Price]]*Table1[[#This Row],[Units]]</f>
        <v>4800</v>
      </c>
      <c r="M880" s="1">
        <v>1393</v>
      </c>
      <c r="N880" t="s">
        <v>14</v>
      </c>
    </row>
    <row r="881" spans="4:14" x14ac:dyDescent="0.25">
      <c r="D881">
        <v>1880</v>
      </c>
      <c r="E881" s="4">
        <v>45676</v>
      </c>
      <c r="F881" t="s">
        <v>10</v>
      </c>
      <c r="G881" t="s">
        <v>11</v>
      </c>
      <c r="H881" t="s">
        <v>30</v>
      </c>
      <c r="I881" t="s">
        <v>28</v>
      </c>
      <c r="J881">
        <v>2</v>
      </c>
      <c r="K881" s="1">
        <v>2000</v>
      </c>
      <c r="L881" s="1">
        <f>Table1[[#This Row],[Unit Price]]*Table1[[#This Row],[Units]]</f>
        <v>4000</v>
      </c>
      <c r="M881" s="1">
        <v>633</v>
      </c>
      <c r="N881" t="s">
        <v>14</v>
      </c>
    </row>
    <row r="882" spans="4:14" x14ac:dyDescent="0.25">
      <c r="D882">
        <v>1881</v>
      </c>
      <c r="E882" s="4">
        <v>45749</v>
      </c>
      <c r="F882" t="s">
        <v>20</v>
      </c>
      <c r="G882" t="s">
        <v>24</v>
      </c>
      <c r="H882" t="s">
        <v>30</v>
      </c>
      <c r="I882" t="s">
        <v>13</v>
      </c>
      <c r="J882">
        <v>2</v>
      </c>
      <c r="K882" s="1">
        <v>800</v>
      </c>
      <c r="L882" s="1">
        <f>Table1[[#This Row],[Unit Price]]*Table1[[#This Row],[Units]]</f>
        <v>1600</v>
      </c>
      <c r="M882" s="1">
        <v>309</v>
      </c>
      <c r="N882" t="s">
        <v>14</v>
      </c>
    </row>
    <row r="883" spans="4:14" x14ac:dyDescent="0.25">
      <c r="D883">
        <v>1882</v>
      </c>
      <c r="E883" s="4">
        <v>45682</v>
      </c>
      <c r="F883" t="s">
        <v>10</v>
      </c>
      <c r="G883" t="s">
        <v>29</v>
      </c>
      <c r="H883" t="s">
        <v>17</v>
      </c>
      <c r="I883" t="s">
        <v>28</v>
      </c>
      <c r="J883">
        <v>8</v>
      </c>
      <c r="K883" s="1">
        <v>2000</v>
      </c>
      <c r="L883" s="1">
        <f>Table1[[#This Row],[Unit Price]]*Table1[[#This Row],[Units]]</f>
        <v>16000</v>
      </c>
      <c r="M883" s="1">
        <v>5403</v>
      </c>
      <c r="N883" t="s">
        <v>14</v>
      </c>
    </row>
    <row r="884" spans="4:14" x14ac:dyDescent="0.25">
      <c r="D884">
        <v>1883</v>
      </c>
      <c r="E884" s="4">
        <v>45823</v>
      </c>
      <c r="F884" t="s">
        <v>27</v>
      </c>
      <c r="G884" t="s">
        <v>24</v>
      </c>
      <c r="H884" t="s">
        <v>17</v>
      </c>
      <c r="I884" t="s">
        <v>34</v>
      </c>
      <c r="J884">
        <v>5</v>
      </c>
      <c r="K884" s="1">
        <v>30000</v>
      </c>
      <c r="L884" s="1">
        <f>Table1[[#This Row],[Unit Price]]*Table1[[#This Row],[Units]]</f>
        <v>150000</v>
      </c>
      <c r="M884" s="1">
        <v>40482</v>
      </c>
      <c r="N884" t="s">
        <v>26</v>
      </c>
    </row>
    <row r="885" spans="4:14" x14ac:dyDescent="0.25">
      <c r="D885">
        <v>1884</v>
      </c>
      <c r="E885" s="4">
        <v>45731</v>
      </c>
      <c r="F885" t="s">
        <v>23</v>
      </c>
      <c r="G885" t="s">
        <v>29</v>
      </c>
      <c r="H885" t="s">
        <v>33</v>
      </c>
      <c r="I885" t="s">
        <v>13</v>
      </c>
      <c r="J885">
        <v>8</v>
      </c>
      <c r="K885" s="1">
        <v>800</v>
      </c>
      <c r="L885" s="1">
        <f>Table1[[#This Row],[Unit Price]]*Table1[[#This Row],[Units]]</f>
        <v>6400</v>
      </c>
      <c r="M885" s="1">
        <v>1699</v>
      </c>
      <c r="N885" t="s">
        <v>14</v>
      </c>
    </row>
    <row r="886" spans="4:14" x14ac:dyDescent="0.25">
      <c r="D886">
        <v>1885</v>
      </c>
      <c r="E886" s="4">
        <v>45712</v>
      </c>
      <c r="F886" t="s">
        <v>32</v>
      </c>
      <c r="G886" t="s">
        <v>24</v>
      </c>
      <c r="H886" t="s">
        <v>35</v>
      </c>
      <c r="I886" t="s">
        <v>28</v>
      </c>
      <c r="J886">
        <v>8</v>
      </c>
      <c r="K886" s="1">
        <v>2000</v>
      </c>
      <c r="L886" s="1">
        <f>Table1[[#This Row],[Unit Price]]*Table1[[#This Row],[Units]]</f>
        <v>16000</v>
      </c>
      <c r="M886" s="1">
        <v>3512</v>
      </c>
      <c r="N886" t="s">
        <v>14</v>
      </c>
    </row>
    <row r="887" spans="4:14" x14ac:dyDescent="0.25">
      <c r="D887">
        <v>1886</v>
      </c>
      <c r="E887" s="4">
        <v>45726</v>
      </c>
      <c r="F887" t="s">
        <v>23</v>
      </c>
      <c r="G887" t="s">
        <v>11</v>
      </c>
      <c r="H887" t="s">
        <v>30</v>
      </c>
      <c r="I887" t="s">
        <v>28</v>
      </c>
      <c r="J887">
        <v>4</v>
      </c>
      <c r="K887" s="1">
        <v>2000</v>
      </c>
      <c r="L887" s="1">
        <f>Table1[[#This Row],[Unit Price]]*Table1[[#This Row],[Units]]</f>
        <v>8000</v>
      </c>
      <c r="M887" s="1">
        <v>1584</v>
      </c>
      <c r="N887" t="s">
        <v>14</v>
      </c>
    </row>
    <row r="888" spans="4:14" x14ac:dyDescent="0.25">
      <c r="D888">
        <v>1887</v>
      </c>
      <c r="E888" s="4">
        <v>45740</v>
      </c>
      <c r="F888" t="s">
        <v>23</v>
      </c>
      <c r="G888" t="s">
        <v>29</v>
      </c>
      <c r="H888" t="s">
        <v>35</v>
      </c>
      <c r="I888" t="s">
        <v>18</v>
      </c>
      <c r="J888">
        <v>9</v>
      </c>
      <c r="K888" s="1">
        <v>60000</v>
      </c>
      <c r="L888" s="1">
        <f>Table1[[#This Row],[Unit Price]]*Table1[[#This Row],[Units]]</f>
        <v>540000</v>
      </c>
      <c r="M888" s="1">
        <v>106331</v>
      </c>
      <c r="N888" t="s">
        <v>19</v>
      </c>
    </row>
    <row r="889" spans="4:14" x14ac:dyDescent="0.25">
      <c r="D889">
        <v>1888</v>
      </c>
      <c r="E889" s="4">
        <v>45830</v>
      </c>
      <c r="F889" t="s">
        <v>27</v>
      </c>
      <c r="G889" t="s">
        <v>11</v>
      </c>
      <c r="H889" t="s">
        <v>12</v>
      </c>
      <c r="I889" t="s">
        <v>13</v>
      </c>
      <c r="J889">
        <v>2</v>
      </c>
      <c r="K889" s="1">
        <v>800</v>
      </c>
      <c r="L889" s="1">
        <f>Table1[[#This Row],[Unit Price]]*Table1[[#This Row],[Units]]</f>
        <v>1600</v>
      </c>
      <c r="M889" s="1">
        <v>496</v>
      </c>
      <c r="N889" t="s">
        <v>14</v>
      </c>
    </row>
    <row r="890" spans="4:14" x14ac:dyDescent="0.25">
      <c r="D890">
        <v>1889</v>
      </c>
      <c r="E890" s="4">
        <v>45695</v>
      </c>
      <c r="F890" t="s">
        <v>32</v>
      </c>
      <c r="G890" t="s">
        <v>29</v>
      </c>
      <c r="H890" t="s">
        <v>30</v>
      </c>
      <c r="I890" t="s">
        <v>28</v>
      </c>
      <c r="J890">
        <v>9</v>
      </c>
      <c r="K890" s="1">
        <v>2000</v>
      </c>
      <c r="L890" s="1">
        <f>Table1[[#This Row],[Unit Price]]*Table1[[#This Row],[Units]]</f>
        <v>18000</v>
      </c>
      <c r="M890" s="1">
        <v>3750</v>
      </c>
      <c r="N890" t="s">
        <v>14</v>
      </c>
    </row>
    <row r="891" spans="4:14" x14ac:dyDescent="0.25">
      <c r="D891">
        <v>1890</v>
      </c>
      <c r="E891" s="4">
        <v>45766</v>
      </c>
      <c r="F891" t="s">
        <v>20</v>
      </c>
      <c r="G891" t="s">
        <v>11</v>
      </c>
      <c r="H891" t="s">
        <v>33</v>
      </c>
      <c r="I891" t="s">
        <v>13</v>
      </c>
      <c r="J891">
        <v>9</v>
      </c>
      <c r="K891" s="1">
        <v>800</v>
      </c>
      <c r="L891" s="1">
        <f>Table1[[#This Row],[Unit Price]]*Table1[[#This Row],[Units]]</f>
        <v>7200</v>
      </c>
      <c r="M891" s="1">
        <v>1729</v>
      </c>
      <c r="N891" t="s">
        <v>14</v>
      </c>
    </row>
    <row r="892" spans="4:14" x14ac:dyDescent="0.25">
      <c r="D892">
        <v>1891</v>
      </c>
      <c r="E892" s="4">
        <v>45819</v>
      </c>
      <c r="F892" t="s">
        <v>27</v>
      </c>
      <c r="G892" t="s">
        <v>16</v>
      </c>
      <c r="H892" t="s">
        <v>31</v>
      </c>
      <c r="I892" t="s">
        <v>13</v>
      </c>
      <c r="J892">
        <v>2</v>
      </c>
      <c r="K892" s="1">
        <v>800</v>
      </c>
      <c r="L892" s="1">
        <f>Table1[[#This Row],[Unit Price]]*Table1[[#This Row],[Units]]</f>
        <v>1600</v>
      </c>
      <c r="M892" s="1">
        <v>393</v>
      </c>
      <c r="N892" t="s">
        <v>14</v>
      </c>
    </row>
    <row r="893" spans="4:14" x14ac:dyDescent="0.25">
      <c r="D893">
        <v>1892</v>
      </c>
      <c r="E893" s="4">
        <v>45704</v>
      </c>
      <c r="F893" t="s">
        <v>32</v>
      </c>
      <c r="G893" t="s">
        <v>16</v>
      </c>
      <c r="H893" t="s">
        <v>25</v>
      </c>
      <c r="I893" t="s">
        <v>22</v>
      </c>
      <c r="J893">
        <v>9</v>
      </c>
      <c r="K893" s="1">
        <v>15000</v>
      </c>
      <c r="L893" s="1">
        <f>Table1[[#This Row],[Unit Price]]*Table1[[#This Row],[Units]]</f>
        <v>135000</v>
      </c>
      <c r="M893" s="1">
        <v>30994</v>
      </c>
      <c r="N893" t="s">
        <v>26</v>
      </c>
    </row>
    <row r="894" spans="4:14" x14ac:dyDescent="0.25">
      <c r="D894">
        <v>1893</v>
      </c>
      <c r="E894" s="4">
        <v>45835</v>
      </c>
      <c r="F894" t="s">
        <v>27</v>
      </c>
      <c r="G894" t="s">
        <v>24</v>
      </c>
      <c r="H894" t="s">
        <v>21</v>
      </c>
      <c r="I894" t="s">
        <v>34</v>
      </c>
      <c r="J894">
        <v>7</v>
      </c>
      <c r="K894" s="1">
        <v>30000</v>
      </c>
      <c r="L894" s="1">
        <f>Table1[[#This Row],[Unit Price]]*Table1[[#This Row],[Units]]</f>
        <v>210000</v>
      </c>
      <c r="M894" s="1">
        <v>41654</v>
      </c>
      <c r="N894" t="s">
        <v>19</v>
      </c>
    </row>
    <row r="895" spans="4:14" x14ac:dyDescent="0.25">
      <c r="D895">
        <v>1894</v>
      </c>
      <c r="E895" s="4">
        <v>45754</v>
      </c>
      <c r="F895" t="s">
        <v>20</v>
      </c>
      <c r="G895" t="s">
        <v>11</v>
      </c>
      <c r="H895" t="s">
        <v>25</v>
      </c>
      <c r="I895" t="s">
        <v>13</v>
      </c>
      <c r="J895">
        <v>4</v>
      </c>
      <c r="K895" s="1">
        <v>800</v>
      </c>
      <c r="L895" s="1">
        <f>Table1[[#This Row],[Unit Price]]*Table1[[#This Row],[Units]]</f>
        <v>3200</v>
      </c>
      <c r="M895" s="1">
        <v>570</v>
      </c>
      <c r="N895" t="s">
        <v>14</v>
      </c>
    </row>
    <row r="896" spans="4:14" x14ac:dyDescent="0.25">
      <c r="D896">
        <v>1895</v>
      </c>
      <c r="E896" s="4">
        <v>45815</v>
      </c>
      <c r="F896" t="s">
        <v>27</v>
      </c>
      <c r="G896" t="s">
        <v>29</v>
      </c>
      <c r="H896" t="s">
        <v>17</v>
      </c>
      <c r="I896" t="s">
        <v>28</v>
      </c>
      <c r="J896">
        <v>2</v>
      </c>
      <c r="K896" s="1">
        <v>2000</v>
      </c>
      <c r="L896" s="1">
        <f>Table1[[#This Row],[Unit Price]]*Table1[[#This Row],[Units]]</f>
        <v>4000</v>
      </c>
      <c r="M896" s="1">
        <v>817</v>
      </c>
      <c r="N896" t="s">
        <v>14</v>
      </c>
    </row>
    <row r="897" spans="4:14" x14ac:dyDescent="0.25">
      <c r="D897">
        <v>1896</v>
      </c>
      <c r="E897" s="4">
        <v>45728</v>
      </c>
      <c r="F897" t="s">
        <v>23</v>
      </c>
      <c r="G897" t="s">
        <v>24</v>
      </c>
      <c r="H897" t="s">
        <v>31</v>
      </c>
      <c r="I897" t="s">
        <v>22</v>
      </c>
      <c r="J897">
        <v>4</v>
      </c>
      <c r="K897" s="1">
        <v>15000</v>
      </c>
      <c r="L897" s="1">
        <f>Table1[[#This Row],[Unit Price]]*Table1[[#This Row],[Units]]</f>
        <v>60000</v>
      </c>
      <c r="M897" s="1">
        <v>12994</v>
      </c>
      <c r="N897" t="s">
        <v>26</v>
      </c>
    </row>
    <row r="898" spans="4:14" x14ac:dyDescent="0.25">
      <c r="D898">
        <v>1897</v>
      </c>
      <c r="E898" s="4">
        <v>45742</v>
      </c>
      <c r="F898" t="s">
        <v>23</v>
      </c>
      <c r="G898" t="s">
        <v>11</v>
      </c>
      <c r="H898" t="s">
        <v>17</v>
      </c>
      <c r="I898" t="s">
        <v>22</v>
      </c>
      <c r="J898">
        <v>8</v>
      </c>
      <c r="K898" s="1">
        <v>15000</v>
      </c>
      <c r="L898" s="1">
        <f>Table1[[#This Row],[Unit Price]]*Table1[[#This Row],[Units]]</f>
        <v>120000</v>
      </c>
      <c r="M898" s="1">
        <v>30355</v>
      </c>
      <c r="N898" t="s">
        <v>26</v>
      </c>
    </row>
    <row r="899" spans="4:14" x14ac:dyDescent="0.25">
      <c r="D899">
        <v>1898</v>
      </c>
      <c r="E899" s="4">
        <v>45692</v>
      </c>
      <c r="F899" t="s">
        <v>32</v>
      </c>
      <c r="G899" t="s">
        <v>24</v>
      </c>
      <c r="H899" t="s">
        <v>21</v>
      </c>
      <c r="I899" t="s">
        <v>28</v>
      </c>
      <c r="J899">
        <v>2</v>
      </c>
      <c r="K899" s="1">
        <v>2000</v>
      </c>
      <c r="L899" s="1">
        <f>Table1[[#This Row],[Unit Price]]*Table1[[#This Row],[Units]]</f>
        <v>4000</v>
      </c>
      <c r="M899" s="1">
        <v>1128</v>
      </c>
      <c r="N899" t="s">
        <v>14</v>
      </c>
    </row>
    <row r="900" spans="4:14" x14ac:dyDescent="0.25">
      <c r="D900">
        <v>1899</v>
      </c>
      <c r="E900" s="4">
        <v>45686</v>
      </c>
      <c r="F900" t="s">
        <v>10</v>
      </c>
      <c r="G900" t="s">
        <v>16</v>
      </c>
      <c r="H900" t="s">
        <v>12</v>
      </c>
      <c r="I900" t="s">
        <v>18</v>
      </c>
      <c r="J900">
        <v>2</v>
      </c>
      <c r="K900" s="1">
        <v>60000</v>
      </c>
      <c r="L900" s="1">
        <f>Table1[[#This Row],[Unit Price]]*Table1[[#This Row],[Units]]</f>
        <v>120000</v>
      </c>
      <c r="M900" s="1">
        <v>23862</v>
      </c>
      <c r="N900" t="s">
        <v>26</v>
      </c>
    </row>
    <row r="901" spans="4:14" x14ac:dyDescent="0.25">
      <c r="D901">
        <v>1900</v>
      </c>
      <c r="E901" s="4">
        <v>45713</v>
      </c>
      <c r="F901" t="s">
        <v>32</v>
      </c>
      <c r="G901" t="s">
        <v>29</v>
      </c>
      <c r="H901" t="s">
        <v>35</v>
      </c>
      <c r="I901" t="s">
        <v>13</v>
      </c>
      <c r="J901">
        <v>7</v>
      </c>
      <c r="K901" s="1">
        <v>800</v>
      </c>
      <c r="L901" s="1">
        <f>Table1[[#This Row],[Unit Price]]*Table1[[#This Row],[Units]]</f>
        <v>5600</v>
      </c>
      <c r="M901" s="1">
        <v>1143</v>
      </c>
      <c r="N901" t="s">
        <v>14</v>
      </c>
    </row>
    <row r="902" spans="4:14" x14ac:dyDescent="0.25">
      <c r="D902">
        <v>1901</v>
      </c>
      <c r="E902" s="4">
        <v>45748</v>
      </c>
      <c r="F902" t="s">
        <v>20</v>
      </c>
      <c r="G902" t="s">
        <v>24</v>
      </c>
      <c r="H902" t="s">
        <v>35</v>
      </c>
      <c r="I902" t="s">
        <v>28</v>
      </c>
      <c r="J902">
        <v>5</v>
      </c>
      <c r="K902" s="1">
        <v>2000</v>
      </c>
      <c r="L902" s="1">
        <f>Table1[[#This Row],[Unit Price]]*Table1[[#This Row],[Units]]</f>
        <v>10000</v>
      </c>
      <c r="M902" s="1">
        <v>3341</v>
      </c>
      <c r="N902" t="s">
        <v>14</v>
      </c>
    </row>
    <row r="903" spans="4:14" x14ac:dyDescent="0.25">
      <c r="D903">
        <v>1902</v>
      </c>
      <c r="E903" s="4">
        <v>45669</v>
      </c>
      <c r="F903" t="s">
        <v>10</v>
      </c>
      <c r="G903" t="s">
        <v>16</v>
      </c>
      <c r="H903" t="s">
        <v>31</v>
      </c>
      <c r="I903" t="s">
        <v>18</v>
      </c>
      <c r="J903">
        <v>4</v>
      </c>
      <c r="K903" s="1">
        <v>60000</v>
      </c>
      <c r="L903" s="1">
        <f>Table1[[#This Row],[Unit Price]]*Table1[[#This Row],[Units]]</f>
        <v>240000</v>
      </c>
      <c r="M903" s="1">
        <v>57191</v>
      </c>
      <c r="N903" t="s">
        <v>19</v>
      </c>
    </row>
    <row r="904" spans="4:14" x14ac:dyDescent="0.25">
      <c r="D904">
        <v>1903</v>
      </c>
      <c r="E904" s="4">
        <v>45837</v>
      </c>
      <c r="F904" t="s">
        <v>27</v>
      </c>
      <c r="G904" t="s">
        <v>11</v>
      </c>
      <c r="H904" t="s">
        <v>30</v>
      </c>
      <c r="I904" t="s">
        <v>22</v>
      </c>
      <c r="J904">
        <v>7</v>
      </c>
      <c r="K904" s="1">
        <v>15000</v>
      </c>
      <c r="L904" s="1">
        <f>Table1[[#This Row],[Unit Price]]*Table1[[#This Row],[Units]]</f>
        <v>105000</v>
      </c>
      <c r="M904" s="1">
        <v>23161</v>
      </c>
      <c r="N904" t="s">
        <v>26</v>
      </c>
    </row>
    <row r="905" spans="4:14" x14ac:dyDescent="0.25">
      <c r="D905">
        <v>1904</v>
      </c>
      <c r="E905" s="4">
        <v>45760</v>
      </c>
      <c r="F905" t="s">
        <v>20</v>
      </c>
      <c r="G905" t="s">
        <v>11</v>
      </c>
      <c r="H905" t="s">
        <v>12</v>
      </c>
      <c r="I905" t="s">
        <v>28</v>
      </c>
      <c r="J905">
        <v>7</v>
      </c>
      <c r="K905" s="1">
        <v>2000</v>
      </c>
      <c r="L905" s="1">
        <f>Table1[[#This Row],[Unit Price]]*Table1[[#This Row],[Units]]</f>
        <v>14000</v>
      </c>
      <c r="M905" s="1">
        <v>2812</v>
      </c>
      <c r="N905" t="s">
        <v>14</v>
      </c>
    </row>
    <row r="906" spans="4:14" x14ac:dyDescent="0.25">
      <c r="D906">
        <v>1905</v>
      </c>
      <c r="E906" s="4">
        <v>45756</v>
      </c>
      <c r="F906" t="s">
        <v>20</v>
      </c>
      <c r="G906" t="s">
        <v>24</v>
      </c>
      <c r="H906" t="s">
        <v>30</v>
      </c>
      <c r="I906" t="s">
        <v>18</v>
      </c>
      <c r="J906">
        <v>10</v>
      </c>
      <c r="K906" s="1">
        <v>60000</v>
      </c>
      <c r="L906" s="1">
        <f>Table1[[#This Row],[Unit Price]]*Table1[[#This Row],[Units]]</f>
        <v>600000</v>
      </c>
      <c r="M906" s="1">
        <v>109444</v>
      </c>
      <c r="N906" t="s">
        <v>19</v>
      </c>
    </row>
    <row r="907" spans="4:14" x14ac:dyDescent="0.25">
      <c r="D907">
        <v>1906</v>
      </c>
      <c r="E907" s="4">
        <v>45752</v>
      </c>
      <c r="F907" t="s">
        <v>20</v>
      </c>
      <c r="G907" t="s">
        <v>29</v>
      </c>
      <c r="H907" t="s">
        <v>30</v>
      </c>
      <c r="I907" t="s">
        <v>22</v>
      </c>
      <c r="J907">
        <v>4</v>
      </c>
      <c r="K907" s="1">
        <v>15000</v>
      </c>
      <c r="L907" s="1">
        <f>Table1[[#This Row],[Unit Price]]*Table1[[#This Row],[Units]]</f>
        <v>60000</v>
      </c>
      <c r="M907" s="1">
        <v>10805</v>
      </c>
      <c r="N907" t="s">
        <v>26</v>
      </c>
    </row>
    <row r="908" spans="4:14" x14ac:dyDescent="0.25">
      <c r="D908">
        <v>1907</v>
      </c>
      <c r="E908" s="4">
        <v>45809</v>
      </c>
      <c r="F908" t="s">
        <v>27</v>
      </c>
      <c r="G908" t="s">
        <v>11</v>
      </c>
      <c r="H908" t="s">
        <v>25</v>
      </c>
      <c r="I908" t="s">
        <v>18</v>
      </c>
      <c r="J908">
        <v>3</v>
      </c>
      <c r="K908" s="1">
        <v>60000</v>
      </c>
      <c r="L908" s="1">
        <f>Table1[[#This Row],[Unit Price]]*Table1[[#This Row],[Units]]</f>
        <v>180000</v>
      </c>
      <c r="M908" s="1">
        <v>54347</v>
      </c>
      <c r="N908" t="s">
        <v>26</v>
      </c>
    </row>
    <row r="909" spans="4:14" x14ac:dyDescent="0.25">
      <c r="D909">
        <v>1908</v>
      </c>
      <c r="E909" s="4">
        <v>45686</v>
      </c>
      <c r="F909" t="s">
        <v>10</v>
      </c>
      <c r="G909" t="s">
        <v>24</v>
      </c>
      <c r="H909" t="s">
        <v>35</v>
      </c>
      <c r="I909" t="s">
        <v>22</v>
      </c>
      <c r="J909">
        <v>5</v>
      </c>
      <c r="K909" s="1">
        <v>15000</v>
      </c>
      <c r="L909" s="1">
        <f>Table1[[#This Row],[Unit Price]]*Table1[[#This Row],[Units]]</f>
        <v>75000</v>
      </c>
      <c r="M909" s="1">
        <v>11390</v>
      </c>
      <c r="N909" t="s">
        <v>26</v>
      </c>
    </row>
    <row r="910" spans="4:14" x14ac:dyDescent="0.25">
      <c r="D910">
        <v>1909</v>
      </c>
      <c r="E910" s="4">
        <v>45723</v>
      </c>
      <c r="F910" t="s">
        <v>23</v>
      </c>
      <c r="G910" t="s">
        <v>16</v>
      </c>
      <c r="H910" t="s">
        <v>35</v>
      </c>
      <c r="I910" t="s">
        <v>18</v>
      </c>
      <c r="J910">
        <v>2</v>
      </c>
      <c r="K910" s="1">
        <v>60000</v>
      </c>
      <c r="L910" s="1">
        <f>Table1[[#This Row],[Unit Price]]*Table1[[#This Row],[Units]]</f>
        <v>120000</v>
      </c>
      <c r="M910" s="1">
        <v>28959</v>
      </c>
      <c r="N910" t="s">
        <v>26</v>
      </c>
    </row>
    <row r="911" spans="4:14" x14ac:dyDescent="0.25">
      <c r="D911">
        <v>1910</v>
      </c>
      <c r="E911" s="4">
        <v>45680</v>
      </c>
      <c r="F911" t="s">
        <v>10</v>
      </c>
      <c r="G911" t="s">
        <v>29</v>
      </c>
      <c r="H911" t="s">
        <v>12</v>
      </c>
      <c r="I911" t="s">
        <v>13</v>
      </c>
      <c r="J911">
        <v>1</v>
      </c>
      <c r="K911" s="1">
        <v>800</v>
      </c>
      <c r="L911" s="1">
        <f>Table1[[#This Row],[Unit Price]]*Table1[[#This Row],[Units]]</f>
        <v>800</v>
      </c>
      <c r="M911" s="1">
        <v>227</v>
      </c>
      <c r="N911" t="s">
        <v>14</v>
      </c>
    </row>
    <row r="912" spans="4:14" x14ac:dyDescent="0.25">
      <c r="D912">
        <v>1911</v>
      </c>
      <c r="E912" s="4">
        <v>45702</v>
      </c>
      <c r="F912" t="s">
        <v>32</v>
      </c>
      <c r="G912" t="s">
        <v>16</v>
      </c>
      <c r="H912" t="s">
        <v>35</v>
      </c>
      <c r="I912" t="s">
        <v>28</v>
      </c>
      <c r="J912">
        <v>9</v>
      </c>
      <c r="K912" s="1">
        <v>2000</v>
      </c>
      <c r="L912" s="1">
        <f>Table1[[#This Row],[Unit Price]]*Table1[[#This Row],[Units]]</f>
        <v>18000</v>
      </c>
      <c r="M912" s="1">
        <v>4554</v>
      </c>
      <c r="N912" t="s">
        <v>14</v>
      </c>
    </row>
    <row r="913" spans="4:14" x14ac:dyDescent="0.25">
      <c r="D913">
        <v>1912</v>
      </c>
      <c r="E913" s="4">
        <v>45696</v>
      </c>
      <c r="F913" t="s">
        <v>32</v>
      </c>
      <c r="G913" t="s">
        <v>24</v>
      </c>
      <c r="H913" t="s">
        <v>17</v>
      </c>
      <c r="I913" t="s">
        <v>34</v>
      </c>
      <c r="J913">
        <v>8</v>
      </c>
      <c r="K913" s="1">
        <v>30000</v>
      </c>
      <c r="L913" s="1">
        <f>Table1[[#This Row],[Unit Price]]*Table1[[#This Row],[Units]]</f>
        <v>240000</v>
      </c>
      <c r="M913" s="1">
        <v>44828</v>
      </c>
      <c r="N913" t="s">
        <v>19</v>
      </c>
    </row>
    <row r="914" spans="4:14" x14ac:dyDescent="0.25">
      <c r="D914">
        <v>1913</v>
      </c>
      <c r="E914" s="4">
        <v>45716</v>
      </c>
      <c r="F914" t="s">
        <v>32</v>
      </c>
      <c r="G914" t="s">
        <v>24</v>
      </c>
      <c r="H914" t="s">
        <v>31</v>
      </c>
      <c r="I914" t="s">
        <v>28</v>
      </c>
      <c r="J914">
        <v>3</v>
      </c>
      <c r="K914" s="1">
        <v>2000</v>
      </c>
      <c r="L914" s="1">
        <f>Table1[[#This Row],[Unit Price]]*Table1[[#This Row],[Units]]</f>
        <v>6000</v>
      </c>
      <c r="M914" s="1">
        <v>1728</v>
      </c>
      <c r="N914" t="s">
        <v>14</v>
      </c>
    </row>
    <row r="915" spans="4:14" x14ac:dyDescent="0.25">
      <c r="D915">
        <v>1914</v>
      </c>
      <c r="E915" s="4">
        <v>45836</v>
      </c>
      <c r="F915" t="s">
        <v>27</v>
      </c>
      <c r="G915" t="s">
        <v>29</v>
      </c>
      <c r="H915" t="s">
        <v>33</v>
      </c>
      <c r="I915" t="s">
        <v>34</v>
      </c>
      <c r="J915">
        <v>5</v>
      </c>
      <c r="K915" s="1">
        <v>30000</v>
      </c>
      <c r="L915" s="1">
        <f>Table1[[#This Row],[Unit Price]]*Table1[[#This Row],[Units]]</f>
        <v>150000</v>
      </c>
      <c r="M915" s="1">
        <v>43742</v>
      </c>
      <c r="N915" t="s">
        <v>26</v>
      </c>
    </row>
    <row r="916" spans="4:14" x14ac:dyDescent="0.25">
      <c r="D916">
        <v>1915</v>
      </c>
      <c r="E916" s="4">
        <v>45663</v>
      </c>
      <c r="F916" t="s">
        <v>10</v>
      </c>
      <c r="G916" t="s">
        <v>11</v>
      </c>
      <c r="H916" t="s">
        <v>21</v>
      </c>
      <c r="I916" t="s">
        <v>22</v>
      </c>
      <c r="J916">
        <v>7</v>
      </c>
      <c r="K916" s="1">
        <v>15000</v>
      </c>
      <c r="L916" s="1">
        <f>Table1[[#This Row],[Unit Price]]*Table1[[#This Row],[Units]]</f>
        <v>105000</v>
      </c>
      <c r="M916" s="1">
        <v>18682</v>
      </c>
      <c r="N916" t="s">
        <v>26</v>
      </c>
    </row>
    <row r="917" spans="4:14" x14ac:dyDescent="0.25">
      <c r="D917">
        <v>1916</v>
      </c>
      <c r="E917" s="4">
        <v>45706</v>
      </c>
      <c r="F917" t="s">
        <v>32</v>
      </c>
      <c r="G917" t="s">
        <v>11</v>
      </c>
      <c r="H917" t="s">
        <v>17</v>
      </c>
      <c r="I917" t="s">
        <v>13</v>
      </c>
      <c r="J917">
        <v>5</v>
      </c>
      <c r="K917" s="1">
        <v>800</v>
      </c>
      <c r="L917" s="1">
        <f>Table1[[#This Row],[Unit Price]]*Table1[[#This Row],[Units]]</f>
        <v>4000</v>
      </c>
      <c r="M917" s="1">
        <v>1398</v>
      </c>
      <c r="N917" t="s">
        <v>14</v>
      </c>
    </row>
    <row r="918" spans="4:14" x14ac:dyDescent="0.25">
      <c r="D918">
        <v>1917</v>
      </c>
      <c r="E918" s="4">
        <v>45800</v>
      </c>
      <c r="F918" t="s">
        <v>15</v>
      </c>
      <c r="G918" t="s">
        <v>29</v>
      </c>
      <c r="H918" t="s">
        <v>30</v>
      </c>
      <c r="I918" t="s">
        <v>28</v>
      </c>
      <c r="J918">
        <v>7</v>
      </c>
      <c r="K918" s="1">
        <v>2000</v>
      </c>
      <c r="L918" s="1">
        <f>Table1[[#This Row],[Unit Price]]*Table1[[#This Row],[Units]]</f>
        <v>14000</v>
      </c>
      <c r="M918" s="1">
        <v>2487</v>
      </c>
      <c r="N918" t="s">
        <v>14</v>
      </c>
    </row>
    <row r="919" spans="4:14" x14ac:dyDescent="0.25">
      <c r="D919">
        <v>1918</v>
      </c>
      <c r="E919" s="4">
        <v>45749</v>
      </c>
      <c r="F919" t="s">
        <v>20</v>
      </c>
      <c r="G919" t="s">
        <v>29</v>
      </c>
      <c r="H919" t="s">
        <v>25</v>
      </c>
      <c r="I919" t="s">
        <v>34</v>
      </c>
      <c r="J919">
        <v>6</v>
      </c>
      <c r="K919" s="1">
        <v>30000</v>
      </c>
      <c r="L919" s="1">
        <f>Table1[[#This Row],[Unit Price]]*Table1[[#This Row],[Units]]</f>
        <v>180000</v>
      </c>
      <c r="M919" s="1">
        <v>43931</v>
      </c>
      <c r="N919" t="s">
        <v>26</v>
      </c>
    </row>
    <row r="920" spans="4:14" x14ac:dyDescent="0.25">
      <c r="D920">
        <v>1919</v>
      </c>
      <c r="E920" s="4">
        <v>45695</v>
      </c>
      <c r="F920" t="s">
        <v>32</v>
      </c>
      <c r="G920" t="s">
        <v>11</v>
      </c>
      <c r="H920" t="s">
        <v>35</v>
      </c>
      <c r="I920" t="s">
        <v>18</v>
      </c>
      <c r="J920">
        <v>10</v>
      </c>
      <c r="K920" s="1">
        <v>60000</v>
      </c>
      <c r="L920" s="1">
        <f>Table1[[#This Row],[Unit Price]]*Table1[[#This Row],[Units]]</f>
        <v>600000</v>
      </c>
      <c r="M920" s="1">
        <v>121955</v>
      </c>
      <c r="N920" t="s">
        <v>19</v>
      </c>
    </row>
    <row r="921" spans="4:14" x14ac:dyDescent="0.25">
      <c r="D921">
        <v>1920</v>
      </c>
      <c r="E921" s="4">
        <v>45744</v>
      </c>
      <c r="F921" t="s">
        <v>23</v>
      </c>
      <c r="G921" t="s">
        <v>11</v>
      </c>
      <c r="H921" t="s">
        <v>21</v>
      </c>
      <c r="I921" t="s">
        <v>34</v>
      </c>
      <c r="J921">
        <v>10</v>
      </c>
      <c r="K921" s="1">
        <v>30000</v>
      </c>
      <c r="L921" s="1">
        <f>Table1[[#This Row],[Unit Price]]*Table1[[#This Row],[Units]]</f>
        <v>300000</v>
      </c>
      <c r="M921" s="1">
        <v>66308</v>
      </c>
      <c r="N921" t="s">
        <v>19</v>
      </c>
    </row>
    <row r="922" spans="4:14" x14ac:dyDescent="0.25">
      <c r="D922">
        <v>1921</v>
      </c>
      <c r="E922" s="4">
        <v>45742</v>
      </c>
      <c r="F922" t="s">
        <v>23</v>
      </c>
      <c r="G922" t="s">
        <v>16</v>
      </c>
      <c r="H922" t="s">
        <v>25</v>
      </c>
      <c r="I922" t="s">
        <v>28</v>
      </c>
      <c r="J922">
        <v>2</v>
      </c>
      <c r="K922" s="1">
        <v>2000</v>
      </c>
      <c r="L922" s="1">
        <f>Table1[[#This Row],[Unit Price]]*Table1[[#This Row],[Units]]</f>
        <v>4000</v>
      </c>
      <c r="M922" s="1">
        <v>1116</v>
      </c>
      <c r="N922" t="s">
        <v>14</v>
      </c>
    </row>
    <row r="923" spans="4:14" x14ac:dyDescent="0.25">
      <c r="D923">
        <v>1922</v>
      </c>
      <c r="E923" s="4">
        <v>45746</v>
      </c>
      <c r="F923" t="s">
        <v>23</v>
      </c>
      <c r="G923" t="s">
        <v>29</v>
      </c>
      <c r="H923" t="s">
        <v>12</v>
      </c>
      <c r="I923" t="s">
        <v>22</v>
      </c>
      <c r="J923">
        <v>10</v>
      </c>
      <c r="K923" s="1">
        <v>15000</v>
      </c>
      <c r="L923" s="1">
        <f>Table1[[#This Row],[Unit Price]]*Table1[[#This Row],[Units]]</f>
        <v>150000</v>
      </c>
      <c r="M923" s="1">
        <v>23511</v>
      </c>
      <c r="N923" t="s">
        <v>26</v>
      </c>
    </row>
    <row r="924" spans="4:14" x14ac:dyDescent="0.25">
      <c r="D924">
        <v>1923</v>
      </c>
      <c r="E924" s="4">
        <v>45750</v>
      </c>
      <c r="F924" t="s">
        <v>20</v>
      </c>
      <c r="G924" t="s">
        <v>29</v>
      </c>
      <c r="H924" t="s">
        <v>35</v>
      </c>
      <c r="I924" t="s">
        <v>18</v>
      </c>
      <c r="J924">
        <v>8</v>
      </c>
      <c r="K924" s="1">
        <v>60000</v>
      </c>
      <c r="L924" s="1">
        <f>Table1[[#This Row],[Unit Price]]*Table1[[#This Row],[Units]]</f>
        <v>480000</v>
      </c>
      <c r="M924" s="1">
        <v>143060</v>
      </c>
      <c r="N924" t="s">
        <v>19</v>
      </c>
    </row>
    <row r="925" spans="4:14" x14ac:dyDescent="0.25">
      <c r="D925">
        <v>1924</v>
      </c>
      <c r="E925" s="4">
        <v>45718</v>
      </c>
      <c r="F925" t="s">
        <v>23</v>
      </c>
      <c r="G925" t="s">
        <v>29</v>
      </c>
      <c r="H925" t="s">
        <v>17</v>
      </c>
      <c r="I925" t="s">
        <v>22</v>
      </c>
      <c r="J925">
        <v>1</v>
      </c>
      <c r="K925" s="1">
        <v>15000</v>
      </c>
      <c r="L925" s="1">
        <f>Table1[[#This Row],[Unit Price]]*Table1[[#This Row],[Units]]</f>
        <v>15000</v>
      </c>
      <c r="M925" s="1">
        <v>4232</v>
      </c>
      <c r="N925" t="s">
        <v>14</v>
      </c>
    </row>
    <row r="926" spans="4:14" x14ac:dyDescent="0.25">
      <c r="D926">
        <v>1925</v>
      </c>
      <c r="E926" s="4">
        <v>45727</v>
      </c>
      <c r="F926" t="s">
        <v>23</v>
      </c>
      <c r="G926" t="s">
        <v>11</v>
      </c>
      <c r="H926" t="s">
        <v>35</v>
      </c>
      <c r="I926" t="s">
        <v>28</v>
      </c>
      <c r="J926">
        <v>9</v>
      </c>
      <c r="K926" s="1">
        <v>2000</v>
      </c>
      <c r="L926" s="1">
        <f>Table1[[#This Row],[Unit Price]]*Table1[[#This Row],[Units]]</f>
        <v>18000</v>
      </c>
      <c r="M926" s="1">
        <v>2747</v>
      </c>
      <c r="N926" t="s">
        <v>14</v>
      </c>
    </row>
    <row r="927" spans="4:14" x14ac:dyDescent="0.25">
      <c r="D927">
        <v>1926</v>
      </c>
      <c r="E927" s="4">
        <v>45709</v>
      </c>
      <c r="F927" t="s">
        <v>32</v>
      </c>
      <c r="G927" t="s">
        <v>29</v>
      </c>
      <c r="H927" t="s">
        <v>25</v>
      </c>
      <c r="I927" t="s">
        <v>22</v>
      </c>
      <c r="J927">
        <v>3</v>
      </c>
      <c r="K927" s="1">
        <v>15000</v>
      </c>
      <c r="L927" s="1">
        <f>Table1[[#This Row],[Unit Price]]*Table1[[#This Row],[Units]]</f>
        <v>45000</v>
      </c>
      <c r="M927" s="1">
        <v>12055</v>
      </c>
      <c r="N927" t="s">
        <v>14</v>
      </c>
    </row>
    <row r="928" spans="4:14" x14ac:dyDescent="0.25">
      <c r="D928">
        <v>1927</v>
      </c>
      <c r="E928" s="4">
        <v>45729</v>
      </c>
      <c r="F928" t="s">
        <v>23</v>
      </c>
      <c r="G928" t="s">
        <v>16</v>
      </c>
      <c r="H928" t="s">
        <v>17</v>
      </c>
      <c r="I928" t="s">
        <v>22</v>
      </c>
      <c r="J928">
        <v>4</v>
      </c>
      <c r="K928" s="1">
        <v>15000</v>
      </c>
      <c r="L928" s="1">
        <f>Table1[[#This Row],[Unit Price]]*Table1[[#This Row],[Units]]</f>
        <v>60000</v>
      </c>
      <c r="M928" s="1">
        <v>12346</v>
      </c>
      <c r="N928" t="s">
        <v>26</v>
      </c>
    </row>
    <row r="929" spans="4:14" x14ac:dyDescent="0.25">
      <c r="D929">
        <v>1928</v>
      </c>
      <c r="E929" s="4">
        <v>45705</v>
      </c>
      <c r="F929" t="s">
        <v>32</v>
      </c>
      <c r="G929" t="s">
        <v>24</v>
      </c>
      <c r="H929" t="s">
        <v>21</v>
      </c>
      <c r="I929" t="s">
        <v>22</v>
      </c>
      <c r="J929">
        <v>2</v>
      </c>
      <c r="K929" s="1">
        <v>15000</v>
      </c>
      <c r="L929" s="1">
        <f>Table1[[#This Row],[Unit Price]]*Table1[[#This Row],[Units]]</f>
        <v>30000</v>
      </c>
      <c r="M929" s="1">
        <v>5955</v>
      </c>
      <c r="N929" t="s">
        <v>14</v>
      </c>
    </row>
    <row r="930" spans="4:14" x14ac:dyDescent="0.25">
      <c r="D930">
        <v>1929</v>
      </c>
      <c r="E930" s="4">
        <v>45780</v>
      </c>
      <c r="F930" t="s">
        <v>15</v>
      </c>
      <c r="G930" t="s">
        <v>11</v>
      </c>
      <c r="H930" t="s">
        <v>17</v>
      </c>
      <c r="I930" t="s">
        <v>28</v>
      </c>
      <c r="J930">
        <v>10</v>
      </c>
      <c r="K930" s="1">
        <v>2000</v>
      </c>
      <c r="L930" s="1">
        <f>Table1[[#This Row],[Unit Price]]*Table1[[#This Row],[Units]]</f>
        <v>20000</v>
      </c>
      <c r="M930" s="1">
        <v>4996</v>
      </c>
      <c r="N930" t="s">
        <v>14</v>
      </c>
    </row>
    <row r="931" spans="4:14" x14ac:dyDescent="0.25">
      <c r="D931">
        <v>1930</v>
      </c>
      <c r="E931" s="4">
        <v>45753</v>
      </c>
      <c r="F931" t="s">
        <v>20</v>
      </c>
      <c r="G931" t="s">
        <v>16</v>
      </c>
      <c r="H931" t="s">
        <v>17</v>
      </c>
      <c r="I931" t="s">
        <v>13</v>
      </c>
      <c r="J931">
        <v>9</v>
      </c>
      <c r="K931" s="1">
        <v>800</v>
      </c>
      <c r="L931" s="1">
        <f>Table1[[#This Row],[Unit Price]]*Table1[[#This Row],[Units]]</f>
        <v>7200</v>
      </c>
      <c r="M931" s="1">
        <v>1159</v>
      </c>
      <c r="N931" t="s">
        <v>14</v>
      </c>
    </row>
    <row r="932" spans="4:14" x14ac:dyDescent="0.25">
      <c r="D932">
        <v>1931</v>
      </c>
      <c r="E932" s="4">
        <v>45776</v>
      </c>
      <c r="F932" t="s">
        <v>20</v>
      </c>
      <c r="G932" t="s">
        <v>16</v>
      </c>
      <c r="H932" t="s">
        <v>25</v>
      </c>
      <c r="I932" t="s">
        <v>34</v>
      </c>
      <c r="J932">
        <v>2</v>
      </c>
      <c r="K932" s="1">
        <v>30000</v>
      </c>
      <c r="L932" s="1">
        <f>Table1[[#This Row],[Unit Price]]*Table1[[#This Row],[Units]]</f>
        <v>60000</v>
      </c>
      <c r="M932" s="1">
        <v>11524</v>
      </c>
      <c r="N932" t="s">
        <v>26</v>
      </c>
    </row>
    <row r="933" spans="4:14" x14ac:dyDescent="0.25">
      <c r="D933">
        <v>1932</v>
      </c>
      <c r="E933" s="4">
        <v>45809</v>
      </c>
      <c r="F933" t="s">
        <v>27</v>
      </c>
      <c r="G933" t="s">
        <v>29</v>
      </c>
      <c r="H933" t="s">
        <v>21</v>
      </c>
      <c r="I933" t="s">
        <v>28</v>
      </c>
      <c r="J933">
        <v>2</v>
      </c>
      <c r="K933" s="1">
        <v>2000</v>
      </c>
      <c r="L933" s="1">
        <f>Table1[[#This Row],[Unit Price]]*Table1[[#This Row],[Units]]</f>
        <v>4000</v>
      </c>
      <c r="M933" s="1">
        <v>713</v>
      </c>
      <c r="N933" t="s">
        <v>14</v>
      </c>
    </row>
    <row r="934" spans="4:14" x14ac:dyDescent="0.25">
      <c r="D934">
        <v>1933</v>
      </c>
      <c r="E934" s="4">
        <v>45802</v>
      </c>
      <c r="F934" t="s">
        <v>15</v>
      </c>
      <c r="G934" t="s">
        <v>16</v>
      </c>
      <c r="H934" t="s">
        <v>21</v>
      </c>
      <c r="I934" t="s">
        <v>22</v>
      </c>
      <c r="J934">
        <v>1</v>
      </c>
      <c r="K934" s="1">
        <v>15000</v>
      </c>
      <c r="L934" s="1">
        <f>Table1[[#This Row],[Unit Price]]*Table1[[#This Row],[Units]]</f>
        <v>15000</v>
      </c>
      <c r="M934" s="1">
        <v>4580</v>
      </c>
      <c r="N934" t="s">
        <v>14</v>
      </c>
    </row>
    <row r="935" spans="4:14" x14ac:dyDescent="0.25">
      <c r="D935">
        <v>1934</v>
      </c>
      <c r="E935" s="4">
        <v>45801</v>
      </c>
      <c r="F935" t="s">
        <v>15</v>
      </c>
      <c r="G935" t="s">
        <v>24</v>
      </c>
      <c r="H935" t="s">
        <v>25</v>
      </c>
      <c r="I935" t="s">
        <v>28</v>
      </c>
      <c r="J935">
        <v>9</v>
      </c>
      <c r="K935" s="1">
        <v>2000</v>
      </c>
      <c r="L935" s="1">
        <f>Table1[[#This Row],[Unit Price]]*Table1[[#This Row],[Units]]</f>
        <v>18000</v>
      </c>
      <c r="M935" s="1">
        <v>4411</v>
      </c>
      <c r="N935" t="s">
        <v>14</v>
      </c>
    </row>
    <row r="936" spans="4:14" x14ac:dyDescent="0.25">
      <c r="D936">
        <v>1935</v>
      </c>
      <c r="E936" s="4">
        <v>45812</v>
      </c>
      <c r="F936" t="s">
        <v>27</v>
      </c>
      <c r="G936" t="s">
        <v>16</v>
      </c>
      <c r="H936" t="s">
        <v>33</v>
      </c>
      <c r="I936" t="s">
        <v>18</v>
      </c>
      <c r="J936">
        <v>5</v>
      </c>
      <c r="K936" s="1">
        <v>60000</v>
      </c>
      <c r="L936" s="1">
        <f>Table1[[#This Row],[Unit Price]]*Table1[[#This Row],[Units]]</f>
        <v>300000</v>
      </c>
      <c r="M936" s="1">
        <v>52864</v>
      </c>
      <c r="N936" t="s">
        <v>19</v>
      </c>
    </row>
    <row r="937" spans="4:14" x14ac:dyDescent="0.25">
      <c r="D937">
        <v>1936</v>
      </c>
      <c r="E937" s="4">
        <v>45752</v>
      </c>
      <c r="F937" t="s">
        <v>20</v>
      </c>
      <c r="G937" t="s">
        <v>11</v>
      </c>
      <c r="H937" t="s">
        <v>33</v>
      </c>
      <c r="I937" t="s">
        <v>18</v>
      </c>
      <c r="J937">
        <v>5</v>
      </c>
      <c r="K937" s="1">
        <v>60000</v>
      </c>
      <c r="L937" s="1">
        <f>Table1[[#This Row],[Unit Price]]*Table1[[#This Row],[Units]]</f>
        <v>300000</v>
      </c>
      <c r="M937" s="1">
        <v>59537</v>
      </c>
      <c r="N937" t="s">
        <v>19</v>
      </c>
    </row>
    <row r="938" spans="4:14" x14ac:dyDescent="0.25">
      <c r="D938">
        <v>1937</v>
      </c>
      <c r="E938" s="4">
        <v>45824</v>
      </c>
      <c r="F938" t="s">
        <v>27</v>
      </c>
      <c r="G938" t="s">
        <v>11</v>
      </c>
      <c r="H938" t="s">
        <v>30</v>
      </c>
      <c r="I938" t="s">
        <v>34</v>
      </c>
      <c r="J938">
        <v>8</v>
      </c>
      <c r="K938" s="1">
        <v>30000</v>
      </c>
      <c r="L938" s="1">
        <f>Table1[[#This Row],[Unit Price]]*Table1[[#This Row],[Units]]</f>
        <v>240000</v>
      </c>
      <c r="M938" s="1">
        <v>48970</v>
      </c>
      <c r="N938" t="s">
        <v>19</v>
      </c>
    </row>
    <row r="939" spans="4:14" x14ac:dyDescent="0.25">
      <c r="D939">
        <v>1938</v>
      </c>
      <c r="E939" s="4">
        <v>45765</v>
      </c>
      <c r="F939" t="s">
        <v>20</v>
      </c>
      <c r="G939" t="s">
        <v>29</v>
      </c>
      <c r="H939" t="s">
        <v>31</v>
      </c>
      <c r="I939" t="s">
        <v>13</v>
      </c>
      <c r="J939">
        <v>9</v>
      </c>
      <c r="K939" s="1">
        <v>800</v>
      </c>
      <c r="L939" s="1">
        <f>Table1[[#This Row],[Unit Price]]*Table1[[#This Row],[Units]]</f>
        <v>7200</v>
      </c>
      <c r="M939" s="1">
        <v>1591</v>
      </c>
      <c r="N939" t="s">
        <v>14</v>
      </c>
    </row>
    <row r="940" spans="4:14" x14ac:dyDescent="0.25">
      <c r="D940">
        <v>1939</v>
      </c>
      <c r="E940" s="4">
        <v>45791</v>
      </c>
      <c r="F940" t="s">
        <v>15</v>
      </c>
      <c r="G940" t="s">
        <v>11</v>
      </c>
      <c r="H940" t="s">
        <v>33</v>
      </c>
      <c r="I940" t="s">
        <v>34</v>
      </c>
      <c r="J940">
        <v>1</v>
      </c>
      <c r="K940" s="1">
        <v>30000</v>
      </c>
      <c r="L940" s="1">
        <f>Table1[[#This Row],[Unit Price]]*Table1[[#This Row],[Units]]</f>
        <v>30000</v>
      </c>
      <c r="M940" s="1">
        <v>6361</v>
      </c>
      <c r="N940" t="s">
        <v>14</v>
      </c>
    </row>
    <row r="941" spans="4:14" x14ac:dyDescent="0.25">
      <c r="D941">
        <v>1940</v>
      </c>
      <c r="E941" s="4">
        <v>45705</v>
      </c>
      <c r="F941" t="s">
        <v>32</v>
      </c>
      <c r="G941" t="s">
        <v>11</v>
      </c>
      <c r="H941" t="s">
        <v>21</v>
      </c>
      <c r="I941" t="s">
        <v>13</v>
      </c>
      <c r="J941">
        <v>5</v>
      </c>
      <c r="K941" s="1">
        <v>800</v>
      </c>
      <c r="L941" s="1">
        <f>Table1[[#This Row],[Unit Price]]*Table1[[#This Row],[Units]]</f>
        <v>4000</v>
      </c>
      <c r="M941" s="1">
        <v>975</v>
      </c>
      <c r="N941" t="s">
        <v>14</v>
      </c>
    </row>
    <row r="942" spans="4:14" x14ac:dyDescent="0.25">
      <c r="D942">
        <v>1941</v>
      </c>
      <c r="E942" s="4">
        <v>45754</v>
      </c>
      <c r="F942" t="s">
        <v>20</v>
      </c>
      <c r="G942" t="s">
        <v>11</v>
      </c>
      <c r="H942" t="s">
        <v>33</v>
      </c>
      <c r="I942" t="s">
        <v>13</v>
      </c>
      <c r="J942">
        <v>6</v>
      </c>
      <c r="K942" s="1">
        <v>800</v>
      </c>
      <c r="L942" s="1">
        <f>Table1[[#This Row],[Unit Price]]*Table1[[#This Row],[Units]]</f>
        <v>4800</v>
      </c>
      <c r="M942" s="1">
        <v>1291</v>
      </c>
      <c r="N942" t="s">
        <v>14</v>
      </c>
    </row>
    <row r="943" spans="4:14" x14ac:dyDescent="0.25">
      <c r="D943">
        <v>1942</v>
      </c>
      <c r="E943" s="4">
        <v>45662</v>
      </c>
      <c r="F943" t="s">
        <v>10</v>
      </c>
      <c r="G943" t="s">
        <v>11</v>
      </c>
      <c r="H943" t="s">
        <v>17</v>
      </c>
      <c r="I943" t="s">
        <v>13</v>
      </c>
      <c r="J943">
        <v>7</v>
      </c>
      <c r="K943" s="1">
        <v>800</v>
      </c>
      <c r="L943" s="1">
        <f>Table1[[#This Row],[Unit Price]]*Table1[[#This Row],[Units]]</f>
        <v>5600</v>
      </c>
      <c r="M943" s="1">
        <v>1514</v>
      </c>
      <c r="N943" t="s">
        <v>14</v>
      </c>
    </row>
    <row r="944" spans="4:14" x14ac:dyDescent="0.25">
      <c r="D944">
        <v>1943</v>
      </c>
      <c r="E944" s="4">
        <v>45664</v>
      </c>
      <c r="F944" t="s">
        <v>10</v>
      </c>
      <c r="G944" t="s">
        <v>16</v>
      </c>
      <c r="H944" t="s">
        <v>12</v>
      </c>
      <c r="I944" t="s">
        <v>28</v>
      </c>
      <c r="J944">
        <v>2</v>
      </c>
      <c r="K944" s="1">
        <v>2000</v>
      </c>
      <c r="L944" s="1">
        <f>Table1[[#This Row],[Unit Price]]*Table1[[#This Row],[Units]]</f>
        <v>4000</v>
      </c>
      <c r="M944" s="1">
        <v>917</v>
      </c>
      <c r="N944" t="s">
        <v>14</v>
      </c>
    </row>
    <row r="945" spans="4:14" x14ac:dyDescent="0.25">
      <c r="D945">
        <v>1944</v>
      </c>
      <c r="E945" s="4">
        <v>45710</v>
      </c>
      <c r="F945" t="s">
        <v>32</v>
      </c>
      <c r="G945" t="s">
        <v>11</v>
      </c>
      <c r="H945" t="s">
        <v>21</v>
      </c>
      <c r="I945" t="s">
        <v>28</v>
      </c>
      <c r="J945">
        <v>3</v>
      </c>
      <c r="K945" s="1">
        <v>2000</v>
      </c>
      <c r="L945" s="1">
        <f>Table1[[#This Row],[Unit Price]]*Table1[[#This Row],[Units]]</f>
        <v>6000</v>
      </c>
      <c r="M945" s="1">
        <v>1028</v>
      </c>
      <c r="N945" t="s">
        <v>14</v>
      </c>
    </row>
    <row r="946" spans="4:14" x14ac:dyDescent="0.25">
      <c r="D946">
        <v>1945</v>
      </c>
      <c r="E946" s="4">
        <v>45789</v>
      </c>
      <c r="F946" t="s">
        <v>15</v>
      </c>
      <c r="G946" t="s">
        <v>24</v>
      </c>
      <c r="H946" t="s">
        <v>21</v>
      </c>
      <c r="I946" t="s">
        <v>22</v>
      </c>
      <c r="J946">
        <v>9</v>
      </c>
      <c r="K946" s="1">
        <v>15000</v>
      </c>
      <c r="L946" s="1">
        <f>Table1[[#This Row],[Unit Price]]*Table1[[#This Row],[Units]]</f>
        <v>135000</v>
      </c>
      <c r="M946" s="1">
        <v>25907</v>
      </c>
      <c r="N946" t="s">
        <v>26</v>
      </c>
    </row>
    <row r="947" spans="4:14" x14ac:dyDescent="0.25">
      <c r="D947">
        <v>1946</v>
      </c>
      <c r="E947" s="4">
        <v>45680</v>
      </c>
      <c r="F947" t="s">
        <v>10</v>
      </c>
      <c r="G947" t="s">
        <v>11</v>
      </c>
      <c r="H947" t="s">
        <v>35</v>
      </c>
      <c r="I947" t="s">
        <v>28</v>
      </c>
      <c r="J947">
        <v>8</v>
      </c>
      <c r="K947" s="1">
        <v>2000</v>
      </c>
      <c r="L947" s="1">
        <f>Table1[[#This Row],[Unit Price]]*Table1[[#This Row],[Units]]</f>
        <v>16000</v>
      </c>
      <c r="M947" s="1">
        <v>3769</v>
      </c>
      <c r="N947" t="s">
        <v>14</v>
      </c>
    </row>
    <row r="948" spans="4:14" x14ac:dyDescent="0.25">
      <c r="D948">
        <v>1947</v>
      </c>
      <c r="E948" s="4">
        <v>45702</v>
      </c>
      <c r="F948" t="s">
        <v>32</v>
      </c>
      <c r="G948" t="s">
        <v>16</v>
      </c>
      <c r="H948" t="s">
        <v>35</v>
      </c>
      <c r="I948" t="s">
        <v>22</v>
      </c>
      <c r="J948">
        <v>10</v>
      </c>
      <c r="K948" s="1">
        <v>15000</v>
      </c>
      <c r="L948" s="1">
        <f>Table1[[#This Row],[Unit Price]]*Table1[[#This Row],[Units]]</f>
        <v>150000</v>
      </c>
      <c r="M948" s="1">
        <v>33315</v>
      </c>
      <c r="N948" t="s">
        <v>26</v>
      </c>
    </row>
    <row r="949" spans="4:14" x14ac:dyDescent="0.25">
      <c r="D949">
        <v>1948</v>
      </c>
      <c r="E949" s="4">
        <v>45705</v>
      </c>
      <c r="F949" t="s">
        <v>32</v>
      </c>
      <c r="G949" t="s">
        <v>24</v>
      </c>
      <c r="H949" t="s">
        <v>17</v>
      </c>
      <c r="I949" t="s">
        <v>34</v>
      </c>
      <c r="J949">
        <v>8</v>
      </c>
      <c r="K949" s="1">
        <v>30000</v>
      </c>
      <c r="L949" s="1">
        <f>Table1[[#This Row],[Unit Price]]*Table1[[#This Row],[Units]]</f>
        <v>240000</v>
      </c>
      <c r="M949" s="1">
        <v>41514</v>
      </c>
      <c r="N949" t="s">
        <v>19</v>
      </c>
    </row>
    <row r="950" spans="4:14" x14ac:dyDescent="0.25">
      <c r="D950">
        <v>1949</v>
      </c>
      <c r="E950" s="4">
        <v>45744</v>
      </c>
      <c r="F950" t="s">
        <v>23</v>
      </c>
      <c r="G950" t="s">
        <v>16</v>
      </c>
      <c r="H950" t="s">
        <v>33</v>
      </c>
      <c r="I950" t="s">
        <v>22</v>
      </c>
      <c r="J950">
        <v>4</v>
      </c>
      <c r="K950" s="1">
        <v>15000</v>
      </c>
      <c r="L950" s="1">
        <f>Table1[[#This Row],[Unit Price]]*Table1[[#This Row],[Units]]</f>
        <v>60000</v>
      </c>
      <c r="M950" s="1">
        <v>11156</v>
      </c>
      <c r="N950" t="s">
        <v>26</v>
      </c>
    </row>
    <row r="951" spans="4:14" x14ac:dyDescent="0.25">
      <c r="D951">
        <v>1950</v>
      </c>
      <c r="E951" s="4">
        <v>45688</v>
      </c>
      <c r="F951" t="s">
        <v>10</v>
      </c>
      <c r="G951" t="s">
        <v>11</v>
      </c>
      <c r="H951" t="s">
        <v>30</v>
      </c>
      <c r="I951" t="s">
        <v>13</v>
      </c>
      <c r="J951">
        <v>3</v>
      </c>
      <c r="K951" s="1">
        <v>800</v>
      </c>
      <c r="L951" s="1">
        <f>Table1[[#This Row],[Unit Price]]*Table1[[#This Row],[Units]]</f>
        <v>2400</v>
      </c>
      <c r="M951" s="1">
        <v>544</v>
      </c>
      <c r="N951" t="s">
        <v>14</v>
      </c>
    </row>
    <row r="952" spans="4:14" x14ac:dyDescent="0.25">
      <c r="D952">
        <v>1951</v>
      </c>
      <c r="E952" s="4">
        <v>45742</v>
      </c>
      <c r="F952" t="s">
        <v>23</v>
      </c>
      <c r="G952" t="s">
        <v>29</v>
      </c>
      <c r="H952" t="s">
        <v>31</v>
      </c>
      <c r="I952" t="s">
        <v>22</v>
      </c>
      <c r="J952">
        <v>7</v>
      </c>
      <c r="K952" s="1">
        <v>15000</v>
      </c>
      <c r="L952" s="1">
        <f>Table1[[#This Row],[Unit Price]]*Table1[[#This Row],[Units]]</f>
        <v>105000</v>
      </c>
      <c r="M952" s="1">
        <v>36575</v>
      </c>
      <c r="N952" t="s">
        <v>26</v>
      </c>
    </row>
    <row r="953" spans="4:14" x14ac:dyDescent="0.25">
      <c r="D953">
        <v>1952</v>
      </c>
      <c r="E953" s="4">
        <v>45816</v>
      </c>
      <c r="F953" t="s">
        <v>27</v>
      </c>
      <c r="G953" t="s">
        <v>29</v>
      </c>
      <c r="H953" t="s">
        <v>33</v>
      </c>
      <c r="I953" t="s">
        <v>13</v>
      </c>
      <c r="J953">
        <v>5</v>
      </c>
      <c r="K953" s="1">
        <v>800</v>
      </c>
      <c r="L953" s="1">
        <f>Table1[[#This Row],[Unit Price]]*Table1[[#This Row],[Units]]</f>
        <v>4000</v>
      </c>
      <c r="M953" s="1">
        <v>913</v>
      </c>
      <c r="N953" t="s">
        <v>14</v>
      </c>
    </row>
    <row r="954" spans="4:14" x14ac:dyDescent="0.25">
      <c r="D954">
        <v>1953</v>
      </c>
      <c r="E954" s="4">
        <v>45694</v>
      </c>
      <c r="F954" t="s">
        <v>32</v>
      </c>
      <c r="G954" t="s">
        <v>29</v>
      </c>
      <c r="H954" t="s">
        <v>31</v>
      </c>
      <c r="I954" t="s">
        <v>18</v>
      </c>
      <c r="J954">
        <v>8</v>
      </c>
      <c r="K954" s="1">
        <v>60000</v>
      </c>
      <c r="L954" s="1">
        <f>Table1[[#This Row],[Unit Price]]*Table1[[#This Row],[Units]]</f>
        <v>480000</v>
      </c>
      <c r="M954" s="1">
        <v>137548</v>
      </c>
      <c r="N954" t="s">
        <v>19</v>
      </c>
    </row>
    <row r="955" spans="4:14" x14ac:dyDescent="0.25">
      <c r="D955">
        <v>1954</v>
      </c>
      <c r="E955" s="4">
        <v>45725</v>
      </c>
      <c r="F955" t="s">
        <v>23</v>
      </c>
      <c r="G955" t="s">
        <v>24</v>
      </c>
      <c r="H955" t="s">
        <v>17</v>
      </c>
      <c r="I955" t="s">
        <v>28</v>
      </c>
      <c r="J955">
        <v>2</v>
      </c>
      <c r="K955" s="1">
        <v>2000</v>
      </c>
      <c r="L955" s="1">
        <f>Table1[[#This Row],[Unit Price]]*Table1[[#This Row],[Units]]</f>
        <v>4000</v>
      </c>
      <c r="M955" s="1">
        <v>1071</v>
      </c>
      <c r="N955" t="s">
        <v>14</v>
      </c>
    </row>
    <row r="956" spans="4:14" x14ac:dyDescent="0.25">
      <c r="D956">
        <v>1955</v>
      </c>
      <c r="E956" s="4">
        <v>45724</v>
      </c>
      <c r="F956" t="s">
        <v>23</v>
      </c>
      <c r="G956" t="s">
        <v>24</v>
      </c>
      <c r="H956" t="s">
        <v>12</v>
      </c>
      <c r="I956" t="s">
        <v>22</v>
      </c>
      <c r="J956">
        <v>4</v>
      </c>
      <c r="K956" s="1">
        <v>15000</v>
      </c>
      <c r="L956" s="1">
        <f>Table1[[#This Row],[Unit Price]]*Table1[[#This Row],[Units]]</f>
        <v>60000</v>
      </c>
      <c r="M956" s="1">
        <v>16881</v>
      </c>
      <c r="N956" t="s">
        <v>26</v>
      </c>
    </row>
    <row r="957" spans="4:14" x14ac:dyDescent="0.25">
      <c r="D957">
        <v>1956</v>
      </c>
      <c r="E957" s="4">
        <v>45819</v>
      </c>
      <c r="F957" t="s">
        <v>27</v>
      </c>
      <c r="G957" t="s">
        <v>24</v>
      </c>
      <c r="H957" t="s">
        <v>30</v>
      </c>
      <c r="I957" t="s">
        <v>13</v>
      </c>
      <c r="J957">
        <v>8</v>
      </c>
      <c r="K957" s="1">
        <v>800</v>
      </c>
      <c r="L957" s="1">
        <f>Table1[[#This Row],[Unit Price]]*Table1[[#This Row],[Units]]</f>
        <v>6400</v>
      </c>
      <c r="M957" s="1">
        <v>1221</v>
      </c>
      <c r="N957" t="s">
        <v>14</v>
      </c>
    </row>
    <row r="958" spans="4:14" x14ac:dyDescent="0.25">
      <c r="D958">
        <v>1957</v>
      </c>
      <c r="E958" s="4">
        <v>45664</v>
      </c>
      <c r="F958" t="s">
        <v>10</v>
      </c>
      <c r="G958" t="s">
        <v>16</v>
      </c>
      <c r="H958" t="s">
        <v>21</v>
      </c>
      <c r="I958" t="s">
        <v>13</v>
      </c>
      <c r="J958">
        <v>2</v>
      </c>
      <c r="K958" s="1">
        <v>800</v>
      </c>
      <c r="L958" s="1">
        <f>Table1[[#This Row],[Unit Price]]*Table1[[#This Row],[Units]]</f>
        <v>1600</v>
      </c>
      <c r="M958" s="1">
        <v>344</v>
      </c>
      <c r="N958" t="s">
        <v>14</v>
      </c>
    </row>
    <row r="959" spans="4:14" x14ac:dyDescent="0.25">
      <c r="D959">
        <v>1958</v>
      </c>
      <c r="E959" s="4">
        <v>45704</v>
      </c>
      <c r="F959" t="s">
        <v>32</v>
      </c>
      <c r="G959" t="s">
        <v>24</v>
      </c>
      <c r="H959" t="s">
        <v>21</v>
      </c>
      <c r="I959" t="s">
        <v>13</v>
      </c>
      <c r="J959">
        <v>4</v>
      </c>
      <c r="K959" s="1">
        <v>800</v>
      </c>
      <c r="L959" s="1">
        <f>Table1[[#This Row],[Unit Price]]*Table1[[#This Row],[Units]]</f>
        <v>3200</v>
      </c>
      <c r="M959" s="1">
        <v>901</v>
      </c>
      <c r="N959" t="s">
        <v>14</v>
      </c>
    </row>
    <row r="960" spans="4:14" x14ac:dyDescent="0.25">
      <c r="D960">
        <v>1959</v>
      </c>
      <c r="E960" s="4">
        <v>45718</v>
      </c>
      <c r="F960" t="s">
        <v>23</v>
      </c>
      <c r="G960" t="s">
        <v>24</v>
      </c>
      <c r="H960" t="s">
        <v>35</v>
      </c>
      <c r="I960" t="s">
        <v>28</v>
      </c>
      <c r="J960">
        <v>4</v>
      </c>
      <c r="K960" s="1">
        <v>2000</v>
      </c>
      <c r="L960" s="1">
        <f>Table1[[#This Row],[Unit Price]]*Table1[[#This Row],[Units]]</f>
        <v>8000</v>
      </c>
      <c r="M960" s="1">
        <v>1712</v>
      </c>
      <c r="N960" t="s">
        <v>14</v>
      </c>
    </row>
    <row r="961" spans="4:14" x14ac:dyDescent="0.25">
      <c r="D961">
        <v>1960</v>
      </c>
      <c r="E961" s="4">
        <v>45837</v>
      </c>
      <c r="F961" t="s">
        <v>27</v>
      </c>
      <c r="G961" t="s">
        <v>11</v>
      </c>
      <c r="H961" t="s">
        <v>25</v>
      </c>
      <c r="I961" t="s">
        <v>22</v>
      </c>
      <c r="J961">
        <v>7</v>
      </c>
      <c r="K961" s="1">
        <v>15000</v>
      </c>
      <c r="L961" s="1">
        <f>Table1[[#This Row],[Unit Price]]*Table1[[#This Row],[Units]]</f>
        <v>105000</v>
      </c>
      <c r="M961" s="1">
        <v>15817</v>
      </c>
      <c r="N961" t="s">
        <v>26</v>
      </c>
    </row>
    <row r="962" spans="4:14" x14ac:dyDescent="0.25">
      <c r="D962">
        <v>1961</v>
      </c>
      <c r="E962" s="4">
        <v>45694</v>
      </c>
      <c r="F962" t="s">
        <v>32</v>
      </c>
      <c r="G962" t="s">
        <v>29</v>
      </c>
      <c r="H962" t="s">
        <v>25</v>
      </c>
      <c r="I962" t="s">
        <v>28</v>
      </c>
      <c r="J962">
        <v>9</v>
      </c>
      <c r="K962" s="1">
        <v>2000</v>
      </c>
      <c r="L962" s="1">
        <f>Table1[[#This Row],[Unit Price]]*Table1[[#This Row],[Units]]</f>
        <v>18000</v>
      </c>
      <c r="M962" s="1">
        <v>2746</v>
      </c>
      <c r="N962" t="s">
        <v>14</v>
      </c>
    </row>
    <row r="963" spans="4:14" x14ac:dyDescent="0.25">
      <c r="D963">
        <v>1962</v>
      </c>
      <c r="E963" s="4">
        <v>45737</v>
      </c>
      <c r="F963" t="s">
        <v>23</v>
      </c>
      <c r="G963" t="s">
        <v>16</v>
      </c>
      <c r="H963" t="s">
        <v>25</v>
      </c>
      <c r="I963" t="s">
        <v>22</v>
      </c>
      <c r="J963">
        <v>7</v>
      </c>
      <c r="K963" s="1">
        <v>15000</v>
      </c>
      <c r="L963" s="1">
        <f>Table1[[#This Row],[Unit Price]]*Table1[[#This Row],[Units]]</f>
        <v>105000</v>
      </c>
      <c r="M963" s="1">
        <v>25966</v>
      </c>
      <c r="N963" t="s">
        <v>26</v>
      </c>
    </row>
    <row r="964" spans="4:14" x14ac:dyDescent="0.25">
      <c r="D964">
        <v>1963</v>
      </c>
      <c r="E964" s="4">
        <v>45721</v>
      </c>
      <c r="F964" t="s">
        <v>23</v>
      </c>
      <c r="G964" t="s">
        <v>24</v>
      </c>
      <c r="H964" t="s">
        <v>21</v>
      </c>
      <c r="I964" t="s">
        <v>28</v>
      </c>
      <c r="J964">
        <v>9</v>
      </c>
      <c r="K964" s="1">
        <v>2000</v>
      </c>
      <c r="L964" s="1">
        <f>Table1[[#This Row],[Unit Price]]*Table1[[#This Row],[Units]]</f>
        <v>18000</v>
      </c>
      <c r="M964" s="1">
        <v>3058</v>
      </c>
      <c r="N964" t="s">
        <v>14</v>
      </c>
    </row>
    <row r="965" spans="4:14" x14ac:dyDescent="0.25">
      <c r="D965">
        <v>1964</v>
      </c>
      <c r="E965" s="4">
        <v>45730</v>
      </c>
      <c r="F965" t="s">
        <v>23</v>
      </c>
      <c r="G965" t="s">
        <v>11</v>
      </c>
      <c r="H965" t="s">
        <v>25</v>
      </c>
      <c r="I965" t="s">
        <v>28</v>
      </c>
      <c r="J965">
        <v>5</v>
      </c>
      <c r="K965" s="1">
        <v>2000</v>
      </c>
      <c r="L965" s="1">
        <f>Table1[[#This Row],[Unit Price]]*Table1[[#This Row],[Units]]</f>
        <v>10000</v>
      </c>
      <c r="M965" s="1">
        <v>1752</v>
      </c>
      <c r="N965" t="s">
        <v>14</v>
      </c>
    </row>
    <row r="966" spans="4:14" x14ac:dyDescent="0.25">
      <c r="D966">
        <v>1965</v>
      </c>
      <c r="E966" s="4">
        <v>45769</v>
      </c>
      <c r="F966" t="s">
        <v>20</v>
      </c>
      <c r="G966" t="s">
        <v>16</v>
      </c>
      <c r="H966" t="s">
        <v>17</v>
      </c>
      <c r="I966" t="s">
        <v>28</v>
      </c>
      <c r="J966">
        <v>2</v>
      </c>
      <c r="K966" s="1">
        <v>2000</v>
      </c>
      <c r="L966" s="1">
        <f>Table1[[#This Row],[Unit Price]]*Table1[[#This Row],[Units]]</f>
        <v>4000</v>
      </c>
      <c r="M966" s="1">
        <v>1095</v>
      </c>
      <c r="N966" t="s">
        <v>14</v>
      </c>
    </row>
    <row r="967" spans="4:14" x14ac:dyDescent="0.25">
      <c r="D967">
        <v>1966</v>
      </c>
      <c r="E967" s="4">
        <v>45755</v>
      </c>
      <c r="F967" t="s">
        <v>20</v>
      </c>
      <c r="G967" t="s">
        <v>16</v>
      </c>
      <c r="H967" t="s">
        <v>21</v>
      </c>
      <c r="I967" t="s">
        <v>34</v>
      </c>
      <c r="J967">
        <v>5</v>
      </c>
      <c r="K967" s="1">
        <v>30000</v>
      </c>
      <c r="L967" s="1">
        <f>Table1[[#This Row],[Unit Price]]*Table1[[#This Row],[Units]]</f>
        <v>150000</v>
      </c>
      <c r="M967" s="1">
        <v>25967</v>
      </c>
      <c r="N967" t="s">
        <v>26</v>
      </c>
    </row>
    <row r="968" spans="4:14" x14ac:dyDescent="0.25">
      <c r="D968">
        <v>1967</v>
      </c>
      <c r="E968" s="4">
        <v>45658</v>
      </c>
      <c r="F968" t="s">
        <v>10</v>
      </c>
      <c r="G968" t="s">
        <v>11</v>
      </c>
      <c r="H968" t="s">
        <v>30</v>
      </c>
      <c r="I968" t="s">
        <v>28</v>
      </c>
      <c r="J968">
        <v>3</v>
      </c>
      <c r="K968" s="1">
        <v>2000</v>
      </c>
      <c r="L968" s="1">
        <f>Table1[[#This Row],[Unit Price]]*Table1[[#This Row],[Units]]</f>
        <v>6000</v>
      </c>
      <c r="M968" s="1">
        <v>1130</v>
      </c>
      <c r="N968" t="s">
        <v>14</v>
      </c>
    </row>
    <row r="969" spans="4:14" x14ac:dyDescent="0.25">
      <c r="D969">
        <v>1968</v>
      </c>
      <c r="E969" s="4">
        <v>45731</v>
      </c>
      <c r="F969" t="s">
        <v>23</v>
      </c>
      <c r="G969" t="s">
        <v>16</v>
      </c>
      <c r="H969" t="s">
        <v>33</v>
      </c>
      <c r="I969" t="s">
        <v>22</v>
      </c>
      <c r="J969">
        <v>2</v>
      </c>
      <c r="K969" s="1">
        <v>15000</v>
      </c>
      <c r="L969" s="1">
        <f>Table1[[#This Row],[Unit Price]]*Table1[[#This Row],[Units]]</f>
        <v>30000</v>
      </c>
      <c r="M969" s="1">
        <v>5031</v>
      </c>
      <c r="N969" t="s">
        <v>14</v>
      </c>
    </row>
    <row r="970" spans="4:14" x14ac:dyDescent="0.25">
      <c r="D970">
        <v>1969</v>
      </c>
      <c r="E970" s="4">
        <v>45767</v>
      </c>
      <c r="F970" t="s">
        <v>20</v>
      </c>
      <c r="G970" t="s">
        <v>11</v>
      </c>
      <c r="H970" t="s">
        <v>31</v>
      </c>
      <c r="I970" t="s">
        <v>13</v>
      </c>
      <c r="J970">
        <v>1</v>
      </c>
      <c r="K970" s="1">
        <v>800</v>
      </c>
      <c r="L970" s="1">
        <f>Table1[[#This Row],[Unit Price]]*Table1[[#This Row],[Units]]</f>
        <v>800</v>
      </c>
      <c r="M970" s="1">
        <v>204</v>
      </c>
      <c r="N970" t="s">
        <v>14</v>
      </c>
    </row>
    <row r="971" spans="4:14" x14ac:dyDescent="0.25">
      <c r="D971">
        <v>1970</v>
      </c>
      <c r="E971" s="4">
        <v>45660</v>
      </c>
      <c r="F971" t="s">
        <v>10</v>
      </c>
      <c r="G971" t="s">
        <v>16</v>
      </c>
      <c r="H971" t="s">
        <v>25</v>
      </c>
      <c r="I971" t="s">
        <v>28</v>
      </c>
      <c r="J971">
        <v>7</v>
      </c>
      <c r="K971" s="1">
        <v>2000</v>
      </c>
      <c r="L971" s="1">
        <f>Table1[[#This Row],[Unit Price]]*Table1[[#This Row],[Units]]</f>
        <v>14000</v>
      </c>
      <c r="M971" s="1">
        <v>3412</v>
      </c>
      <c r="N971" t="s">
        <v>14</v>
      </c>
    </row>
    <row r="972" spans="4:14" x14ac:dyDescent="0.25">
      <c r="D972">
        <v>1971</v>
      </c>
      <c r="E972" s="4">
        <v>45836</v>
      </c>
      <c r="F972" t="s">
        <v>27</v>
      </c>
      <c r="G972" t="s">
        <v>11</v>
      </c>
      <c r="H972" t="s">
        <v>17</v>
      </c>
      <c r="I972" t="s">
        <v>28</v>
      </c>
      <c r="J972">
        <v>3</v>
      </c>
      <c r="K972" s="1">
        <v>2000</v>
      </c>
      <c r="L972" s="1">
        <f>Table1[[#This Row],[Unit Price]]*Table1[[#This Row],[Units]]</f>
        <v>6000</v>
      </c>
      <c r="M972" s="1">
        <v>1231</v>
      </c>
      <c r="N972" t="s">
        <v>14</v>
      </c>
    </row>
    <row r="973" spans="4:14" x14ac:dyDescent="0.25">
      <c r="D973">
        <v>1972</v>
      </c>
      <c r="E973" s="4">
        <v>45708</v>
      </c>
      <c r="F973" t="s">
        <v>32</v>
      </c>
      <c r="G973" t="s">
        <v>24</v>
      </c>
      <c r="H973" t="s">
        <v>12</v>
      </c>
      <c r="I973" t="s">
        <v>34</v>
      </c>
      <c r="J973">
        <v>9</v>
      </c>
      <c r="K973" s="1">
        <v>30000</v>
      </c>
      <c r="L973" s="1">
        <f>Table1[[#This Row],[Unit Price]]*Table1[[#This Row],[Units]]</f>
        <v>270000</v>
      </c>
      <c r="M973" s="1">
        <v>48125</v>
      </c>
      <c r="N973" t="s">
        <v>19</v>
      </c>
    </row>
    <row r="974" spans="4:14" x14ac:dyDescent="0.25">
      <c r="D974">
        <v>1973</v>
      </c>
      <c r="E974" s="4">
        <v>45805</v>
      </c>
      <c r="F974" t="s">
        <v>15</v>
      </c>
      <c r="G974" t="s">
        <v>11</v>
      </c>
      <c r="H974" t="s">
        <v>17</v>
      </c>
      <c r="I974" t="s">
        <v>13</v>
      </c>
      <c r="J974">
        <v>9</v>
      </c>
      <c r="K974" s="1">
        <v>800</v>
      </c>
      <c r="L974" s="1">
        <f>Table1[[#This Row],[Unit Price]]*Table1[[#This Row],[Units]]</f>
        <v>7200</v>
      </c>
      <c r="M974" s="1">
        <v>1278</v>
      </c>
      <c r="N974" t="s">
        <v>14</v>
      </c>
    </row>
    <row r="975" spans="4:14" x14ac:dyDescent="0.25">
      <c r="D975">
        <v>1974</v>
      </c>
      <c r="E975" s="4">
        <v>45746</v>
      </c>
      <c r="F975" t="s">
        <v>23</v>
      </c>
      <c r="G975" t="s">
        <v>24</v>
      </c>
      <c r="H975" t="s">
        <v>21</v>
      </c>
      <c r="I975" t="s">
        <v>13</v>
      </c>
      <c r="J975">
        <v>7</v>
      </c>
      <c r="K975" s="1">
        <v>800</v>
      </c>
      <c r="L975" s="1">
        <f>Table1[[#This Row],[Unit Price]]*Table1[[#This Row],[Units]]</f>
        <v>5600</v>
      </c>
      <c r="M975" s="1">
        <v>1298</v>
      </c>
      <c r="N975" t="s">
        <v>14</v>
      </c>
    </row>
    <row r="976" spans="4:14" x14ac:dyDescent="0.25">
      <c r="D976">
        <v>1975</v>
      </c>
      <c r="E976" s="4">
        <v>45783</v>
      </c>
      <c r="F976" t="s">
        <v>15</v>
      </c>
      <c r="G976" t="s">
        <v>16</v>
      </c>
      <c r="H976" t="s">
        <v>25</v>
      </c>
      <c r="I976" t="s">
        <v>28</v>
      </c>
      <c r="J976">
        <v>10</v>
      </c>
      <c r="K976" s="1">
        <v>2000</v>
      </c>
      <c r="L976" s="1">
        <f>Table1[[#This Row],[Unit Price]]*Table1[[#This Row],[Units]]</f>
        <v>20000</v>
      </c>
      <c r="M976" s="1">
        <v>5383</v>
      </c>
      <c r="N976" t="s">
        <v>14</v>
      </c>
    </row>
    <row r="977" spans="4:14" x14ac:dyDescent="0.25">
      <c r="D977">
        <v>1976</v>
      </c>
      <c r="E977" s="4">
        <v>45690</v>
      </c>
      <c r="F977" t="s">
        <v>32</v>
      </c>
      <c r="G977" t="s">
        <v>11</v>
      </c>
      <c r="H977" t="s">
        <v>31</v>
      </c>
      <c r="I977" t="s">
        <v>28</v>
      </c>
      <c r="J977">
        <v>10</v>
      </c>
      <c r="K977" s="1">
        <v>2000</v>
      </c>
      <c r="L977" s="1">
        <f>Table1[[#This Row],[Unit Price]]*Table1[[#This Row],[Units]]</f>
        <v>20000</v>
      </c>
      <c r="M977" s="1">
        <v>6825</v>
      </c>
      <c r="N977" t="s">
        <v>14</v>
      </c>
    </row>
    <row r="978" spans="4:14" x14ac:dyDescent="0.25">
      <c r="D978">
        <v>1977</v>
      </c>
      <c r="E978" s="4">
        <v>45705</v>
      </c>
      <c r="F978" t="s">
        <v>32</v>
      </c>
      <c r="G978" t="s">
        <v>16</v>
      </c>
      <c r="H978" t="s">
        <v>17</v>
      </c>
      <c r="I978" t="s">
        <v>34</v>
      </c>
      <c r="J978">
        <v>10</v>
      </c>
      <c r="K978" s="1">
        <v>30000</v>
      </c>
      <c r="L978" s="1">
        <f>Table1[[#This Row],[Unit Price]]*Table1[[#This Row],[Units]]</f>
        <v>300000</v>
      </c>
      <c r="M978" s="1">
        <v>78359</v>
      </c>
      <c r="N978" t="s">
        <v>19</v>
      </c>
    </row>
    <row r="979" spans="4:14" x14ac:dyDescent="0.25">
      <c r="D979">
        <v>1978</v>
      </c>
      <c r="E979" s="4">
        <v>45743</v>
      </c>
      <c r="F979" t="s">
        <v>23</v>
      </c>
      <c r="G979" t="s">
        <v>11</v>
      </c>
      <c r="H979" t="s">
        <v>30</v>
      </c>
      <c r="I979" t="s">
        <v>18</v>
      </c>
      <c r="J979">
        <v>3</v>
      </c>
      <c r="K979" s="1">
        <v>60000</v>
      </c>
      <c r="L979" s="1">
        <f>Table1[[#This Row],[Unit Price]]*Table1[[#This Row],[Units]]</f>
        <v>180000</v>
      </c>
      <c r="M979" s="1">
        <v>52564</v>
      </c>
      <c r="N979" t="s">
        <v>26</v>
      </c>
    </row>
    <row r="980" spans="4:14" x14ac:dyDescent="0.25">
      <c r="D980">
        <v>1979</v>
      </c>
      <c r="E980" s="4">
        <v>45766</v>
      </c>
      <c r="F980" t="s">
        <v>20</v>
      </c>
      <c r="G980" t="s">
        <v>24</v>
      </c>
      <c r="H980" t="s">
        <v>17</v>
      </c>
      <c r="I980" t="s">
        <v>13</v>
      </c>
      <c r="J980">
        <v>10</v>
      </c>
      <c r="K980" s="1">
        <v>800</v>
      </c>
      <c r="L980" s="1">
        <f>Table1[[#This Row],[Unit Price]]*Table1[[#This Row],[Units]]</f>
        <v>8000</v>
      </c>
      <c r="M980" s="1">
        <v>1799</v>
      </c>
      <c r="N980" t="s">
        <v>14</v>
      </c>
    </row>
    <row r="981" spans="4:14" x14ac:dyDescent="0.25">
      <c r="D981">
        <v>1980</v>
      </c>
      <c r="E981" s="4">
        <v>45735</v>
      </c>
      <c r="F981" t="s">
        <v>23</v>
      </c>
      <c r="G981" t="s">
        <v>11</v>
      </c>
      <c r="H981" t="s">
        <v>35</v>
      </c>
      <c r="I981" t="s">
        <v>28</v>
      </c>
      <c r="J981">
        <v>3</v>
      </c>
      <c r="K981" s="1">
        <v>2000</v>
      </c>
      <c r="L981" s="1">
        <f>Table1[[#This Row],[Unit Price]]*Table1[[#This Row],[Units]]</f>
        <v>6000</v>
      </c>
      <c r="M981" s="1">
        <v>1491</v>
      </c>
      <c r="N981" t="s">
        <v>14</v>
      </c>
    </row>
    <row r="982" spans="4:14" x14ac:dyDescent="0.25">
      <c r="D982">
        <v>1981</v>
      </c>
      <c r="E982" s="4">
        <v>45718</v>
      </c>
      <c r="F982" t="s">
        <v>23</v>
      </c>
      <c r="G982" t="s">
        <v>29</v>
      </c>
      <c r="H982" t="s">
        <v>31</v>
      </c>
      <c r="I982" t="s">
        <v>34</v>
      </c>
      <c r="J982">
        <v>3</v>
      </c>
      <c r="K982" s="1">
        <v>30000</v>
      </c>
      <c r="L982" s="1">
        <f>Table1[[#This Row],[Unit Price]]*Table1[[#This Row],[Units]]</f>
        <v>90000</v>
      </c>
      <c r="M982" s="1">
        <v>24675</v>
      </c>
      <c r="N982" t="s">
        <v>26</v>
      </c>
    </row>
    <row r="983" spans="4:14" x14ac:dyDescent="0.25">
      <c r="D983">
        <v>1982</v>
      </c>
      <c r="E983" s="4">
        <v>45729</v>
      </c>
      <c r="F983" t="s">
        <v>23</v>
      </c>
      <c r="G983" t="s">
        <v>16</v>
      </c>
      <c r="H983" t="s">
        <v>33</v>
      </c>
      <c r="I983" t="s">
        <v>34</v>
      </c>
      <c r="J983">
        <v>8</v>
      </c>
      <c r="K983" s="1">
        <v>30000</v>
      </c>
      <c r="L983" s="1">
        <f>Table1[[#This Row],[Unit Price]]*Table1[[#This Row],[Units]]</f>
        <v>240000</v>
      </c>
      <c r="M983" s="1">
        <v>52840</v>
      </c>
      <c r="N983" t="s">
        <v>19</v>
      </c>
    </row>
    <row r="984" spans="4:14" x14ac:dyDescent="0.25">
      <c r="D984">
        <v>1983</v>
      </c>
      <c r="E984" s="4">
        <v>45743</v>
      </c>
      <c r="F984" t="s">
        <v>23</v>
      </c>
      <c r="G984" t="s">
        <v>16</v>
      </c>
      <c r="H984" t="s">
        <v>12</v>
      </c>
      <c r="I984" t="s">
        <v>13</v>
      </c>
      <c r="J984">
        <v>3</v>
      </c>
      <c r="K984" s="1">
        <v>800</v>
      </c>
      <c r="L984" s="1">
        <f>Table1[[#This Row],[Unit Price]]*Table1[[#This Row],[Units]]</f>
        <v>2400</v>
      </c>
      <c r="M984" s="1">
        <v>506</v>
      </c>
      <c r="N984" t="s">
        <v>14</v>
      </c>
    </row>
    <row r="985" spans="4:14" x14ac:dyDescent="0.25">
      <c r="D985">
        <v>1984</v>
      </c>
      <c r="E985" s="4">
        <v>45756</v>
      </c>
      <c r="F985" t="s">
        <v>20</v>
      </c>
      <c r="G985" t="s">
        <v>29</v>
      </c>
      <c r="H985" t="s">
        <v>30</v>
      </c>
      <c r="I985" t="s">
        <v>18</v>
      </c>
      <c r="J985">
        <v>4</v>
      </c>
      <c r="K985" s="1">
        <v>60000</v>
      </c>
      <c r="L985" s="1">
        <f>Table1[[#This Row],[Unit Price]]*Table1[[#This Row],[Units]]</f>
        <v>240000</v>
      </c>
      <c r="M985" s="1">
        <v>54993</v>
      </c>
      <c r="N985" t="s">
        <v>19</v>
      </c>
    </row>
    <row r="986" spans="4:14" x14ac:dyDescent="0.25">
      <c r="D986">
        <v>1985</v>
      </c>
      <c r="E986" s="4">
        <v>45761</v>
      </c>
      <c r="F986" t="s">
        <v>20</v>
      </c>
      <c r="G986" t="s">
        <v>11</v>
      </c>
      <c r="H986" t="s">
        <v>31</v>
      </c>
      <c r="I986" t="s">
        <v>22</v>
      </c>
      <c r="J986">
        <v>3</v>
      </c>
      <c r="K986" s="1">
        <v>15000</v>
      </c>
      <c r="L986" s="1">
        <f>Table1[[#This Row],[Unit Price]]*Table1[[#This Row],[Units]]</f>
        <v>45000</v>
      </c>
      <c r="M986" s="1">
        <v>15094</v>
      </c>
      <c r="N986" t="s">
        <v>14</v>
      </c>
    </row>
    <row r="987" spans="4:14" x14ac:dyDescent="0.25">
      <c r="D987">
        <v>1986</v>
      </c>
      <c r="E987" s="4">
        <v>45759</v>
      </c>
      <c r="F987" t="s">
        <v>20</v>
      </c>
      <c r="G987" t="s">
        <v>16</v>
      </c>
      <c r="H987" t="s">
        <v>12</v>
      </c>
      <c r="I987" t="s">
        <v>22</v>
      </c>
      <c r="J987">
        <v>2</v>
      </c>
      <c r="K987" s="1">
        <v>15000</v>
      </c>
      <c r="L987" s="1">
        <f>Table1[[#This Row],[Unit Price]]*Table1[[#This Row],[Units]]</f>
        <v>30000</v>
      </c>
      <c r="M987" s="1">
        <v>5310</v>
      </c>
      <c r="N987" t="s">
        <v>14</v>
      </c>
    </row>
    <row r="988" spans="4:14" x14ac:dyDescent="0.25">
      <c r="D988">
        <v>1987</v>
      </c>
      <c r="E988" s="4">
        <v>45667</v>
      </c>
      <c r="F988" t="s">
        <v>10</v>
      </c>
      <c r="G988" t="s">
        <v>29</v>
      </c>
      <c r="H988" t="s">
        <v>21</v>
      </c>
      <c r="I988" t="s">
        <v>13</v>
      </c>
      <c r="J988">
        <v>1</v>
      </c>
      <c r="K988" s="1">
        <v>800</v>
      </c>
      <c r="L988" s="1">
        <f>Table1[[#This Row],[Unit Price]]*Table1[[#This Row],[Units]]</f>
        <v>800</v>
      </c>
      <c r="M988" s="1">
        <v>258</v>
      </c>
      <c r="N988" t="s">
        <v>14</v>
      </c>
    </row>
    <row r="989" spans="4:14" x14ac:dyDescent="0.25">
      <c r="D989">
        <v>1988</v>
      </c>
      <c r="E989" s="4">
        <v>45803</v>
      </c>
      <c r="F989" t="s">
        <v>15</v>
      </c>
      <c r="G989" t="s">
        <v>16</v>
      </c>
      <c r="H989" t="s">
        <v>35</v>
      </c>
      <c r="I989" t="s">
        <v>22</v>
      </c>
      <c r="J989">
        <v>8</v>
      </c>
      <c r="K989" s="1">
        <v>15000</v>
      </c>
      <c r="L989" s="1">
        <f>Table1[[#This Row],[Unit Price]]*Table1[[#This Row],[Units]]</f>
        <v>120000</v>
      </c>
      <c r="M989" s="1">
        <v>32021</v>
      </c>
      <c r="N989" t="s">
        <v>26</v>
      </c>
    </row>
    <row r="990" spans="4:14" x14ac:dyDescent="0.25">
      <c r="D990">
        <v>1989</v>
      </c>
      <c r="E990" s="4">
        <v>45775</v>
      </c>
      <c r="F990" t="s">
        <v>20</v>
      </c>
      <c r="G990" t="s">
        <v>24</v>
      </c>
      <c r="H990" t="s">
        <v>21</v>
      </c>
      <c r="I990" t="s">
        <v>22</v>
      </c>
      <c r="J990">
        <v>8</v>
      </c>
      <c r="K990" s="1">
        <v>15000</v>
      </c>
      <c r="L990" s="1">
        <f>Table1[[#This Row],[Unit Price]]*Table1[[#This Row],[Units]]</f>
        <v>120000</v>
      </c>
      <c r="M990" s="1">
        <v>25844</v>
      </c>
      <c r="N990" t="s">
        <v>26</v>
      </c>
    </row>
    <row r="991" spans="4:14" x14ac:dyDescent="0.25">
      <c r="D991">
        <v>1990</v>
      </c>
      <c r="E991" s="4">
        <v>45769</v>
      </c>
      <c r="F991" t="s">
        <v>20</v>
      </c>
      <c r="G991" t="s">
        <v>11</v>
      </c>
      <c r="H991" t="s">
        <v>30</v>
      </c>
      <c r="I991" t="s">
        <v>13</v>
      </c>
      <c r="J991">
        <v>7</v>
      </c>
      <c r="K991" s="1">
        <v>800</v>
      </c>
      <c r="L991" s="1">
        <f>Table1[[#This Row],[Unit Price]]*Table1[[#This Row],[Units]]</f>
        <v>5600</v>
      </c>
      <c r="M991" s="1">
        <v>1544</v>
      </c>
      <c r="N991" t="s">
        <v>14</v>
      </c>
    </row>
    <row r="992" spans="4:14" x14ac:dyDescent="0.25">
      <c r="D992">
        <v>1991</v>
      </c>
      <c r="E992" s="4">
        <v>45754</v>
      </c>
      <c r="F992" t="s">
        <v>20</v>
      </c>
      <c r="G992" t="s">
        <v>29</v>
      </c>
      <c r="H992" t="s">
        <v>12</v>
      </c>
      <c r="I992" t="s">
        <v>34</v>
      </c>
      <c r="J992">
        <v>7</v>
      </c>
      <c r="K992" s="1">
        <v>30000</v>
      </c>
      <c r="L992" s="1">
        <f>Table1[[#This Row],[Unit Price]]*Table1[[#This Row],[Units]]</f>
        <v>210000</v>
      </c>
      <c r="M992" s="1">
        <v>72781</v>
      </c>
      <c r="N992" t="s">
        <v>19</v>
      </c>
    </row>
    <row r="993" spans="4:14" x14ac:dyDescent="0.25">
      <c r="D993">
        <v>1992</v>
      </c>
      <c r="E993" s="4">
        <v>45830</v>
      </c>
      <c r="F993" t="s">
        <v>27</v>
      </c>
      <c r="G993" t="s">
        <v>24</v>
      </c>
      <c r="H993" t="s">
        <v>30</v>
      </c>
      <c r="I993" t="s">
        <v>34</v>
      </c>
      <c r="J993">
        <v>2</v>
      </c>
      <c r="K993" s="1">
        <v>30000</v>
      </c>
      <c r="L993" s="1">
        <f>Table1[[#This Row],[Unit Price]]*Table1[[#This Row],[Units]]</f>
        <v>60000</v>
      </c>
      <c r="M993" s="1">
        <v>18959</v>
      </c>
      <c r="N993" t="s">
        <v>26</v>
      </c>
    </row>
    <row r="994" spans="4:14" x14ac:dyDescent="0.25">
      <c r="D994">
        <v>1993</v>
      </c>
      <c r="E994" s="4">
        <v>45729</v>
      </c>
      <c r="F994" t="s">
        <v>23</v>
      </c>
      <c r="G994" t="s">
        <v>16</v>
      </c>
      <c r="H994" t="s">
        <v>25</v>
      </c>
      <c r="I994" t="s">
        <v>22</v>
      </c>
      <c r="J994">
        <v>6</v>
      </c>
      <c r="K994" s="1">
        <v>15000</v>
      </c>
      <c r="L994" s="1">
        <f>Table1[[#This Row],[Unit Price]]*Table1[[#This Row],[Units]]</f>
        <v>90000</v>
      </c>
      <c r="M994" s="1">
        <v>27431</v>
      </c>
      <c r="N994" t="s">
        <v>26</v>
      </c>
    </row>
    <row r="995" spans="4:14" x14ac:dyDescent="0.25">
      <c r="D995">
        <v>1994</v>
      </c>
      <c r="E995" s="4">
        <v>45677</v>
      </c>
      <c r="F995" t="s">
        <v>10</v>
      </c>
      <c r="G995" t="s">
        <v>29</v>
      </c>
      <c r="H995" t="s">
        <v>33</v>
      </c>
      <c r="I995" t="s">
        <v>13</v>
      </c>
      <c r="J995">
        <v>3</v>
      </c>
      <c r="K995" s="1">
        <v>800</v>
      </c>
      <c r="L995" s="1">
        <f>Table1[[#This Row],[Unit Price]]*Table1[[#This Row],[Units]]</f>
        <v>2400</v>
      </c>
      <c r="M995" s="1">
        <v>605</v>
      </c>
      <c r="N995" t="s">
        <v>14</v>
      </c>
    </row>
    <row r="996" spans="4:14" x14ac:dyDescent="0.25">
      <c r="D996">
        <v>1995</v>
      </c>
      <c r="E996" s="4">
        <v>45737</v>
      </c>
      <c r="F996" t="s">
        <v>23</v>
      </c>
      <c r="G996" t="s">
        <v>24</v>
      </c>
      <c r="H996" t="s">
        <v>21</v>
      </c>
      <c r="I996" t="s">
        <v>18</v>
      </c>
      <c r="J996">
        <v>3</v>
      </c>
      <c r="K996" s="1">
        <v>60000</v>
      </c>
      <c r="L996" s="1">
        <f>Table1[[#This Row],[Unit Price]]*Table1[[#This Row],[Units]]</f>
        <v>180000</v>
      </c>
      <c r="M996" s="1">
        <v>35680</v>
      </c>
      <c r="N996" t="s">
        <v>26</v>
      </c>
    </row>
    <row r="997" spans="4:14" x14ac:dyDescent="0.25">
      <c r="D997">
        <v>1996</v>
      </c>
      <c r="E997" s="4">
        <v>45674</v>
      </c>
      <c r="F997" t="s">
        <v>10</v>
      </c>
      <c r="G997" t="s">
        <v>24</v>
      </c>
      <c r="H997" t="s">
        <v>35</v>
      </c>
      <c r="I997" t="s">
        <v>18</v>
      </c>
      <c r="J997">
        <v>5</v>
      </c>
      <c r="K997" s="1">
        <v>60000</v>
      </c>
      <c r="L997" s="1">
        <f>Table1[[#This Row],[Unit Price]]*Table1[[#This Row],[Units]]</f>
        <v>300000</v>
      </c>
      <c r="M997" s="1">
        <v>59154</v>
      </c>
      <c r="N997" t="s">
        <v>19</v>
      </c>
    </row>
    <row r="998" spans="4:14" x14ac:dyDescent="0.25">
      <c r="D998">
        <v>1997</v>
      </c>
      <c r="E998" s="4">
        <v>45707</v>
      </c>
      <c r="F998" t="s">
        <v>32</v>
      </c>
      <c r="G998" t="s">
        <v>11</v>
      </c>
      <c r="H998" t="s">
        <v>35</v>
      </c>
      <c r="I998" t="s">
        <v>13</v>
      </c>
      <c r="J998">
        <v>7</v>
      </c>
      <c r="K998" s="1">
        <v>800</v>
      </c>
      <c r="L998" s="1">
        <f>Table1[[#This Row],[Unit Price]]*Table1[[#This Row],[Units]]</f>
        <v>5600</v>
      </c>
      <c r="M998" s="1">
        <v>1120</v>
      </c>
      <c r="N998" t="s">
        <v>14</v>
      </c>
    </row>
    <row r="999" spans="4:14" x14ac:dyDescent="0.25">
      <c r="D999">
        <v>1998</v>
      </c>
      <c r="E999" s="4">
        <v>45663</v>
      </c>
      <c r="F999" t="s">
        <v>10</v>
      </c>
      <c r="G999" t="s">
        <v>16</v>
      </c>
      <c r="H999" t="s">
        <v>33</v>
      </c>
      <c r="I999" t="s">
        <v>13</v>
      </c>
      <c r="J999">
        <v>8</v>
      </c>
      <c r="K999" s="1">
        <v>800</v>
      </c>
      <c r="L999" s="1">
        <f>Table1[[#This Row],[Unit Price]]*Table1[[#This Row],[Units]]</f>
        <v>6400</v>
      </c>
      <c r="M999" s="1">
        <v>1766</v>
      </c>
      <c r="N999" t="s">
        <v>14</v>
      </c>
    </row>
    <row r="1000" spans="4:14" x14ac:dyDescent="0.25">
      <c r="D1000">
        <v>1999</v>
      </c>
      <c r="E1000" s="4">
        <v>45750</v>
      </c>
      <c r="F1000" t="s">
        <v>20</v>
      </c>
      <c r="G1000" t="s">
        <v>29</v>
      </c>
      <c r="H1000" t="s">
        <v>25</v>
      </c>
      <c r="I1000" t="s">
        <v>28</v>
      </c>
      <c r="J1000">
        <v>3</v>
      </c>
      <c r="K1000" s="1">
        <v>2000</v>
      </c>
      <c r="L1000" s="1">
        <f>Table1[[#This Row],[Unit Price]]*Table1[[#This Row],[Units]]</f>
        <v>6000</v>
      </c>
      <c r="M1000" s="1">
        <v>1026</v>
      </c>
      <c r="N1000" t="s">
        <v>14</v>
      </c>
    </row>
    <row r="1001" spans="4:14" x14ac:dyDescent="0.25">
      <c r="D1001">
        <v>2000</v>
      </c>
      <c r="E1001" s="4">
        <v>45799</v>
      </c>
      <c r="F1001" t="s">
        <v>15</v>
      </c>
      <c r="G1001" t="s">
        <v>29</v>
      </c>
      <c r="H1001" t="s">
        <v>31</v>
      </c>
      <c r="I1001" t="s">
        <v>28</v>
      </c>
      <c r="J1001">
        <v>1</v>
      </c>
      <c r="K1001" s="1">
        <v>2000</v>
      </c>
      <c r="L1001" s="1">
        <f>Table1[[#This Row],[Unit Price]]*Table1[[#This Row],[Units]]</f>
        <v>2000</v>
      </c>
      <c r="M1001" s="1">
        <v>644</v>
      </c>
      <c r="N1001" t="s">
        <v>14</v>
      </c>
    </row>
  </sheetData>
  <conditionalFormatting sqref="N1:N1048576">
    <cfRule type="containsText" dxfId="9" priority="1" operator="containsText" text="medium">
      <formula>NOT(ISERROR(SEARCH("medium",N1)))</formula>
    </cfRule>
    <cfRule type="containsText" dxfId="8" priority="2" operator="containsText" text="low">
      <formula>NOT(ISERROR(SEARCH("low",N1)))</formula>
    </cfRule>
    <cfRule type="containsText" dxfId="7" priority="3" operator="containsText" text="medium">
      <formula>NOT(ISERROR(SEARCH("medium",N1)))</formula>
    </cfRule>
    <cfRule type="containsText" dxfId="6" priority="4" operator="containsText" text="medium">
      <formula>NOT(ISERROR(SEARCH("medium",N1)))</formula>
    </cfRule>
    <cfRule type="containsText" dxfId="5" priority="5" operator="containsText" text="high">
      <formula>NOT(ISERROR(SEARCH("high",N1)))</formula>
    </cfRule>
    <cfRule type="containsText" dxfId="4" priority="7" operator="containsText" text="low">
      <formula>NOT(ISERROR(SEARCH("low",N1)))</formula>
    </cfRule>
    <cfRule type="containsText" dxfId="3" priority="8" operator="containsText" text="low">
      <formula>NOT(ISERROR(SEARCH("low",N1)))</formula>
    </cfRule>
    <cfRule type="containsText" dxfId="2" priority="9" operator="containsText" text="medium">
      <formula>NOT(ISERROR(SEARCH("medium",N1)))</formula>
    </cfRule>
    <cfRule type="containsText" dxfId="1" priority="10" operator="containsText" text="high">
      <formula>NOT(ISERROR(SEARCH("high",N1)))</formula>
    </cfRule>
  </conditionalFormatting>
  <conditionalFormatting sqref="N3">
    <cfRule type="containsText" dxfId="0" priority="6" operator="containsText" text="High">
      <formula>NOT(ISERROR(SEARCH("High",N3)))</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66DE-A16E-4D61-8C76-8594E54BBE4E}">
  <dimension ref="D9:Z39"/>
  <sheetViews>
    <sheetView showGridLines="0" topLeftCell="A10" zoomScale="80" zoomScaleNormal="80" workbookViewId="0">
      <selection activeCell="I31" sqref="I31"/>
    </sheetView>
  </sheetViews>
  <sheetFormatPr defaultRowHeight="15" x14ac:dyDescent="0.25"/>
  <cols>
    <col min="4" max="4" width="14" bestFit="1" customWidth="1"/>
    <col min="5" max="5" width="12.7109375" bestFit="1" customWidth="1"/>
    <col min="12" max="12" width="11.28515625" bestFit="1" customWidth="1"/>
    <col min="13" max="13" width="13.85546875" bestFit="1" customWidth="1"/>
    <col min="16" max="16" width="15.5703125" bestFit="1" customWidth="1"/>
    <col min="17" max="17" width="13.85546875" bestFit="1" customWidth="1"/>
    <col min="19" max="19" width="13" bestFit="1" customWidth="1"/>
    <col min="20" max="20" width="13.85546875" bestFit="1" customWidth="1"/>
    <col min="22" max="22" width="11.28515625" bestFit="1" customWidth="1"/>
    <col min="23" max="23" width="13.85546875" bestFit="1" customWidth="1"/>
    <col min="25" max="25" width="12.140625" bestFit="1" customWidth="1"/>
    <col min="26" max="26" width="13.85546875" bestFit="1" customWidth="1"/>
  </cols>
  <sheetData>
    <row r="9" spans="4:26" x14ac:dyDescent="0.25">
      <c r="D9" t="s">
        <v>47</v>
      </c>
    </row>
    <row r="10" spans="4:26" x14ac:dyDescent="0.25">
      <c r="D10" s="1">
        <v>116324000</v>
      </c>
      <c r="F10" s="1"/>
    </row>
    <row r="12" spans="4:26" x14ac:dyDescent="0.25">
      <c r="D12" s="1">
        <f>GETPIVOTDATA("[Measures].[Sum of Revenue]",$D$9)</f>
        <v>116324000</v>
      </c>
    </row>
    <row r="14" spans="4:26" x14ac:dyDescent="0.25">
      <c r="D14" t="s">
        <v>38</v>
      </c>
      <c r="L14" s="10" t="s">
        <v>3</v>
      </c>
      <c r="M14" t="s">
        <v>37</v>
      </c>
      <c r="P14" s="10" t="s">
        <v>44</v>
      </c>
      <c r="Q14" t="s">
        <v>37</v>
      </c>
      <c r="S14" s="10" t="s">
        <v>45</v>
      </c>
      <c r="T14" t="s">
        <v>37</v>
      </c>
      <c r="V14" s="10" t="s">
        <v>46</v>
      </c>
      <c r="W14" t="s">
        <v>37</v>
      </c>
      <c r="Y14" s="10" t="s">
        <v>9</v>
      </c>
      <c r="Z14" t="s">
        <v>37</v>
      </c>
    </row>
    <row r="15" spans="4:26" x14ac:dyDescent="0.25">
      <c r="D15" s="1">
        <v>28768838</v>
      </c>
      <c r="L15" s="11" t="s">
        <v>11</v>
      </c>
      <c r="M15" s="1">
        <v>28762200</v>
      </c>
      <c r="P15" s="11" t="s">
        <v>12</v>
      </c>
      <c r="Q15" s="1">
        <v>14126400</v>
      </c>
      <c r="S15" s="11" t="s">
        <v>28</v>
      </c>
      <c r="T15" s="1">
        <v>2408000</v>
      </c>
      <c r="V15" s="11" t="s">
        <v>20</v>
      </c>
      <c r="W15" s="1">
        <v>18979000</v>
      </c>
      <c r="Y15" s="11" t="s">
        <v>19</v>
      </c>
      <c r="Z15" s="1">
        <v>77160000</v>
      </c>
    </row>
    <row r="16" spans="4:26" x14ac:dyDescent="0.25">
      <c r="L16" s="11" t="s">
        <v>24</v>
      </c>
      <c r="M16" s="1">
        <v>30150200</v>
      </c>
      <c r="P16" s="11" t="s">
        <v>33</v>
      </c>
      <c r="Q16" s="1">
        <v>15636000</v>
      </c>
      <c r="S16" s="11" t="s">
        <v>18</v>
      </c>
      <c r="T16" s="1">
        <v>64380000</v>
      </c>
      <c r="V16" s="11" t="s">
        <v>32</v>
      </c>
      <c r="W16" s="1">
        <v>15711600</v>
      </c>
      <c r="Y16" s="11" t="s">
        <v>14</v>
      </c>
      <c r="Z16" s="1">
        <v>5504000</v>
      </c>
    </row>
    <row r="17" spans="4:26" x14ac:dyDescent="0.25">
      <c r="D17" s="1">
        <f>GETPIVOTDATA("[Measures].[Sum of Profit]",$D$14)</f>
        <v>28768838</v>
      </c>
      <c r="L17" s="11" t="s">
        <v>16</v>
      </c>
      <c r="M17" s="1">
        <v>26545200</v>
      </c>
      <c r="P17" s="11" t="s">
        <v>35</v>
      </c>
      <c r="Q17" s="1">
        <v>16222800</v>
      </c>
      <c r="S17" s="11" t="s">
        <v>22</v>
      </c>
      <c r="T17" s="1">
        <v>18000000</v>
      </c>
      <c r="V17" s="11" t="s">
        <v>10</v>
      </c>
      <c r="W17" s="1">
        <v>20972200</v>
      </c>
      <c r="Y17" s="11" t="s">
        <v>26</v>
      </c>
      <c r="Z17" s="1">
        <v>33660000</v>
      </c>
    </row>
    <row r="18" spans="4:26" x14ac:dyDescent="0.25">
      <c r="L18" s="11" t="s">
        <v>29</v>
      </c>
      <c r="M18" s="1">
        <v>30866400</v>
      </c>
      <c r="P18" s="11" t="s">
        <v>25</v>
      </c>
      <c r="Q18" s="1">
        <v>11931400</v>
      </c>
      <c r="S18" s="11" t="s">
        <v>13</v>
      </c>
      <c r="T18" s="1">
        <v>876000</v>
      </c>
      <c r="V18" s="11" t="s">
        <v>27</v>
      </c>
      <c r="W18" s="1">
        <v>18265200</v>
      </c>
      <c r="Y18" s="11" t="s">
        <v>43</v>
      </c>
      <c r="Z18" s="1">
        <v>116324000</v>
      </c>
    </row>
    <row r="19" spans="4:26" x14ac:dyDescent="0.25">
      <c r="L19" s="11" t="s">
        <v>43</v>
      </c>
      <c r="M19" s="1">
        <v>116324000</v>
      </c>
      <c r="P19" s="11" t="s">
        <v>17</v>
      </c>
      <c r="Q19" s="1">
        <v>15056400</v>
      </c>
      <c r="S19" s="11" t="s">
        <v>34</v>
      </c>
      <c r="T19" s="1">
        <v>30660000</v>
      </c>
      <c r="V19" s="11" t="s">
        <v>23</v>
      </c>
      <c r="W19" s="1">
        <v>20747800</v>
      </c>
    </row>
    <row r="20" spans="4:26" x14ac:dyDescent="0.25">
      <c r="D20" t="s">
        <v>39</v>
      </c>
      <c r="P20" s="11" t="s">
        <v>21</v>
      </c>
      <c r="Q20" s="1">
        <v>12809200</v>
      </c>
      <c r="S20" s="11" t="s">
        <v>43</v>
      </c>
      <c r="T20" s="1">
        <v>116324000</v>
      </c>
      <c r="V20" s="11" t="s">
        <v>15</v>
      </c>
      <c r="W20" s="1">
        <v>21648200</v>
      </c>
    </row>
    <row r="21" spans="4:26" x14ac:dyDescent="0.25">
      <c r="D21" s="14">
        <v>5594</v>
      </c>
      <c r="P21" s="11" t="s">
        <v>31</v>
      </c>
      <c r="Q21" s="1">
        <v>16455000</v>
      </c>
      <c r="V21" s="11" t="s">
        <v>43</v>
      </c>
      <c r="W21" s="1">
        <v>116324000</v>
      </c>
    </row>
    <row r="22" spans="4:26" x14ac:dyDescent="0.25">
      <c r="L22" s="9" t="s">
        <v>3</v>
      </c>
      <c r="M22" s="9" t="s">
        <v>37</v>
      </c>
      <c r="P22" s="11" t="s">
        <v>30</v>
      </c>
      <c r="Q22" s="1">
        <v>14086800</v>
      </c>
    </row>
    <row r="23" spans="4:26" x14ac:dyDescent="0.25">
      <c r="D23">
        <f>(GETPIVOTDATA("[Measures].[Sum of Units]",$D$20))</f>
        <v>5594</v>
      </c>
      <c r="L23" s="11" t="s">
        <v>11</v>
      </c>
      <c r="M23" s="1" cm="1">
        <f t="array" ref="M23:M26">$M$15:$M$18</f>
        <v>28762200</v>
      </c>
      <c r="P23" s="11" t="s">
        <v>43</v>
      </c>
      <c r="Q23" s="1">
        <v>116324000</v>
      </c>
    </row>
    <row r="24" spans="4:26" x14ac:dyDescent="0.25">
      <c r="L24" s="11" t="s">
        <v>24</v>
      </c>
      <c r="M24" s="1">
        <v>30150200</v>
      </c>
    </row>
    <row r="25" spans="4:26" x14ac:dyDescent="0.25">
      <c r="D25" t="s">
        <v>40</v>
      </c>
      <c r="L25" s="11" t="s">
        <v>16</v>
      </c>
      <c r="M25" s="1">
        <v>26545200</v>
      </c>
      <c r="P25" s="9" t="s">
        <v>44</v>
      </c>
      <c r="Q25" s="9" t="s">
        <v>37</v>
      </c>
      <c r="S25" s="9" t="s">
        <v>45</v>
      </c>
      <c r="T25" t="s">
        <v>37</v>
      </c>
      <c r="V25" s="9" t="s">
        <v>46</v>
      </c>
      <c r="W25" s="9" t="s">
        <v>37</v>
      </c>
      <c r="Y25" s="9" t="s">
        <v>9</v>
      </c>
      <c r="Z25" s="9" t="s">
        <v>37</v>
      </c>
    </row>
    <row r="26" spans="4:26" x14ac:dyDescent="0.25">
      <c r="D26" s="1">
        <v>116324</v>
      </c>
      <c r="L26" s="11" t="s">
        <v>29</v>
      </c>
      <c r="M26" s="1">
        <v>30866400</v>
      </c>
      <c r="P26" s="11" t="s">
        <v>12</v>
      </c>
      <c r="Q26" s="1" cm="1">
        <f t="array" ref="Q26:Q33">$Q$15:$Q$22</f>
        <v>14126400</v>
      </c>
      <c r="S26" s="11" t="s">
        <v>28</v>
      </c>
      <c r="T26" s="1" cm="1">
        <f t="array" ref="T26:T30">$T$15:$T$19</f>
        <v>2408000</v>
      </c>
      <c r="V26" s="11" t="s">
        <v>20</v>
      </c>
      <c r="W26" s="1" cm="1">
        <f t="array" ref="W26:W31">W15:W20</f>
        <v>18979000</v>
      </c>
      <c r="Y26" s="11" t="s">
        <v>19</v>
      </c>
      <c r="Z26" s="1" cm="1">
        <f t="array" ref="Z26:Z28">$Z$15:$Z$17</f>
        <v>77160000</v>
      </c>
    </row>
    <row r="27" spans="4:26" x14ac:dyDescent="0.25">
      <c r="P27" s="11" t="s">
        <v>33</v>
      </c>
      <c r="Q27" s="1">
        <v>15636000</v>
      </c>
      <c r="S27" s="11" t="s">
        <v>18</v>
      </c>
      <c r="T27" s="1">
        <v>64380000</v>
      </c>
      <c r="V27" s="11" t="s">
        <v>32</v>
      </c>
      <c r="W27" s="1">
        <v>15711600</v>
      </c>
      <c r="Y27" s="11" t="s">
        <v>14</v>
      </c>
      <c r="Z27" s="1">
        <v>5504000</v>
      </c>
    </row>
    <row r="28" spans="4:26" x14ac:dyDescent="0.25">
      <c r="D28" s="1">
        <f>GETPIVOTDATA("[Measures].[Average of Revenue]",$D$25)</f>
        <v>116324</v>
      </c>
      <c r="P28" s="11" t="s">
        <v>35</v>
      </c>
      <c r="Q28" s="1">
        <v>16222800</v>
      </c>
      <c r="S28" s="11" t="s">
        <v>22</v>
      </c>
      <c r="T28" s="1">
        <v>18000000</v>
      </c>
      <c r="V28" s="11" t="s">
        <v>10</v>
      </c>
      <c r="W28" s="1">
        <v>20972200</v>
      </c>
      <c r="Y28" s="11" t="s">
        <v>26</v>
      </c>
      <c r="Z28" s="1">
        <v>33660000</v>
      </c>
    </row>
    <row r="29" spans="4:26" x14ac:dyDescent="0.25">
      <c r="P29" s="11" t="s">
        <v>25</v>
      </c>
      <c r="Q29" s="1">
        <v>11931400</v>
      </c>
      <c r="S29" s="11" t="s">
        <v>13</v>
      </c>
      <c r="T29" s="1">
        <v>876000</v>
      </c>
      <c r="V29" s="11" t="s">
        <v>27</v>
      </c>
      <c r="W29" s="1">
        <v>18265200</v>
      </c>
    </row>
    <row r="30" spans="4:26" x14ac:dyDescent="0.25">
      <c r="D30" t="s">
        <v>41</v>
      </c>
      <c r="P30" s="11" t="s">
        <v>17</v>
      </c>
      <c r="Q30" s="1">
        <v>15056400</v>
      </c>
      <c r="S30" s="11" t="s">
        <v>34</v>
      </c>
      <c r="T30" s="1">
        <v>30660000</v>
      </c>
      <c r="V30" s="11" t="s">
        <v>23</v>
      </c>
      <c r="W30" s="1">
        <v>20747800</v>
      </c>
    </row>
    <row r="31" spans="4:26" x14ac:dyDescent="0.25">
      <c r="D31" s="1">
        <v>600000</v>
      </c>
      <c r="P31" s="11" t="s">
        <v>21</v>
      </c>
      <c r="Q31" s="1">
        <v>12809200</v>
      </c>
      <c r="V31" s="11" t="s">
        <v>15</v>
      </c>
      <c r="W31" s="1">
        <v>21648200</v>
      </c>
    </row>
    <row r="32" spans="4:26" x14ac:dyDescent="0.25">
      <c r="P32" s="11" t="s">
        <v>31</v>
      </c>
      <c r="Q32" s="1">
        <v>16455000</v>
      </c>
    </row>
    <row r="33" spans="4:17" x14ac:dyDescent="0.25">
      <c r="D33" s="1">
        <f>(GETPIVOTDATA("[Measures].[Max of Revenue]",$D$30))</f>
        <v>600000</v>
      </c>
      <c r="P33" s="11" t="s">
        <v>30</v>
      </c>
      <c r="Q33" s="1">
        <v>14086800</v>
      </c>
    </row>
    <row r="35" spans="4:17" x14ac:dyDescent="0.25">
      <c r="D35" t="s">
        <v>42</v>
      </c>
    </row>
    <row r="36" spans="4:17" x14ac:dyDescent="0.25">
      <c r="D36" s="1">
        <v>800</v>
      </c>
    </row>
    <row r="38" spans="4:17" x14ac:dyDescent="0.25">
      <c r="D38" s="1">
        <f>GETPIVOTDATA("[Measures].[Min of Revenue]",$D$35)</f>
        <v>800</v>
      </c>
    </row>
    <row r="39" spans="4:17" x14ac:dyDescent="0.25">
      <c r="D39" s="1"/>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8F298-DBDA-440C-B314-FB432180A1E6}">
  <dimension ref="A1"/>
  <sheetViews>
    <sheetView showGridLines="0" topLeftCell="A4" zoomScale="98" zoomScaleNormal="98" workbookViewId="0">
      <selection activeCell="T36" sqref="T36"/>
    </sheetView>
  </sheetViews>
  <sheetFormatPr defaultRowHeight="15" x14ac:dyDescent="0.25"/>
  <cols>
    <col min="1" max="1" width="0.42578125" style="3" customWidth="1"/>
    <col min="2" max="16384" width="9.140625" style="3"/>
  </cols>
  <sheetData>
    <row r="1" s="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2764-2230-458F-BA06-DEAFFED21A48}">
  <dimension ref="D4:K7"/>
  <sheetViews>
    <sheetView showGridLines="0" tabSelected="1" workbookViewId="0">
      <selection activeCell="S8" sqref="S8"/>
    </sheetView>
  </sheetViews>
  <sheetFormatPr defaultRowHeight="15" x14ac:dyDescent="0.25"/>
  <sheetData>
    <row r="4" spans="4:11" ht="24" x14ac:dyDescent="0.4">
      <c r="D4" s="12"/>
      <c r="E4" s="12"/>
      <c r="F4" s="12"/>
      <c r="G4" s="12"/>
      <c r="H4" s="12"/>
      <c r="I4" s="12"/>
      <c r="K4" s="13"/>
    </row>
    <row r="5" spans="4:11" ht="24" x14ac:dyDescent="0.4">
      <c r="D5" s="12"/>
      <c r="E5" s="12"/>
      <c r="F5" s="12"/>
      <c r="G5" s="12"/>
      <c r="H5" s="12"/>
      <c r="I5" s="12"/>
      <c r="J5" s="13"/>
      <c r="K5" s="13"/>
    </row>
    <row r="6" spans="4:11" ht="24" x14ac:dyDescent="0.4">
      <c r="D6" s="12"/>
      <c r="E6" s="12"/>
      <c r="F6" s="12"/>
      <c r="G6" s="12"/>
      <c r="H6" s="12"/>
      <c r="I6" s="12"/>
      <c r="J6" s="13"/>
      <c r="K6" s="13"/>
    </row>
    <row r="7" spans="4:11" ht="24" x14ac:dyDescent="0.4">
      <c r="D7" s="12"/>
      <c r="E7" s="12"/>
      <c r="F7" s="12"/>
      <c r="G7" s="12"/>
      <c r="H7" s="12"/>
      <c r="I7" s="12"/>
      <c r="J7" s="13"/>
      <c r="K7" s="1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4D07A-3A0F-468A-90F3-BC13AF4D9E0F}">
  <dimension ref="A1"/>
  <sheetViews>
    <sheetView workbookViewId="0">
      <selection activeCell="F7" sqref="F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welcome</vt:lpstr>
      <vt:lpstr>Rawdata</vt:lpstr>
      <vt:lpstr>Kpi</vt:lpstr>
      <vt:lpstr>Dashboard</vt:lpstr>
      <vt:lpstr>Insight</vt:lpstr>
      <vt:lpstr>suggestion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chander pratap</dc:creator>
  <cp:lastModifiedBy>chander pratap</cp:lastModifiedBy>
  <dcterms:created xsi:type="dcterms:W3CDTF">2026-03-11T07:00:36Z</dcterms:created>
  <dcterms:modified xsi:type="dcterms:W3CDTF">2026-04-24T17:29:01Z</dcterms:modified>
</cp:coreProperties>
</file>